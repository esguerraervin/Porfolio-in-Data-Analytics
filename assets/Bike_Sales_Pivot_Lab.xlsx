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..C302\Midterm_Task_2\Midterm_Task_2\"/>
    </mc:Choice>
  </mc:AlternateContent>
  <bookViews>
    <workbookView xWindow="0" yWindow="0" windowWidth="28800" windowHeight="12300" activeTab="1"/>
  </bookViews>
  <sheets>
    <sheet name="Analysis" sheetId="2" r:id="rId1"/>
    <sheet name="Most Profit" sheetId="5" r:id="rId2"/>
    <sheet name="Bike Sales" sheetId="1" r:id="rId3"/>
  </sheets>
  <calcPr calcId="191028"/>
  <pivotCaches>
    <pivotCache cacheId="1404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R3" i="1" l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2" i="1"/>
  <c r="S3" i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2" i="1"/>
</calcChain>
</file>

<file path=xl/sharedStrings.xml><?xml version="1.0" encoding="utf-8"?>
<sst xmlns="http://schemas.openxmlformats.org/spreadsheetml/2006/main" count="848" uniqueCount="163">
  <si>
    <t>Sales_Order #</t>
  </si>
  <si>
    <t>Date</t>
  </si>
  <si>
    <t>Day</t>
  </si>
  <si>
    <t>Month</t>
  </si>
  <si>
    <t>Year</t>
  </si>
  <si>
    <t>Customer_Age</t>
  </si>
  <si>
    <t>Age_Group</t>
  </si>
  <si>
    <t>Customer_Gender</t>
  </si>
  <si>
    <t>Country</t>
  </si>
  <si>
    <t>State</t>
  </si>
  <si>
    <t>Product_Category</t>
  </si>
  <si>
    <t>Sub_Category</t>
  </si>
  <si>
    <t>Product_Description</t>
  </si>
  <si>
    <t>Order_Quantity</t>
  </si>
  <si>
    <t xml:space="preserve"> Unit_Cost </t>
  </si>
  <si>
    <t xml:space="preserve"> Unit_Price </t>
  </si>
  <si>
    <t xml:space="preserve"> Profit </t>
  </si>
  <si>
    <t xml:space="preserve"> Cost </t>
  </si>
  <si>
    <t>Revenue</t>
  </si>
  <si>
    <t>000261695</t>
  </si>
  <si>
    <t>December</t>
  </si>
  <si>
    <t>Adults (35-64)</t>
  </si>
  <si>
    <t>F</t>
  </si>
  <si>
    <t>United States</t>
  </si>
  <si>
    <t>California</t>
  </si>
  <si>
    <t>Bikes</t>
  </si>
  <si>
    <t>Mountain Bikes</t>
  </si>
  <si>
    <t>Mountain-200 Black, 46</t>
  </si>
  <si>
    <t>M</t>
  </si>
  <si>
    <t>United Kingdom</t>
  </si>
  <si>
    <t>England</t>
  </si>
  <si>
    <t>Mountain-200 Silver, 42</t>
  </si>
  <si>
    <t>000261697</t>
  </si>
  <si>
    <t>Mountain-400-W Silver, 46</t>
  </si>
  <si>
    <t>000261698</t>
  </si>
  <si>
    <t>Young Adults (25-34)</t>
  </si>
  <si>
    <t>Australia</t>
  </si>
  <si>
    <t>New South Wales</t>
  </si>
  <si>
    <t>Mountain-400-W Silver, 42</t>
  </si>
  <si>
    <t>000261699</t>
  </si>
  <si>
    <t>United  States</t>
  </si>
  <si>
    <t>000261700</t>
  </si>
  <si>
    <t>Youth (&lt;25)</t>
  </si>
  <si>
    <t>Mountain-200 Black, 38</t>
  </si>
  <si>
    <t>000261701</t>
  </si>
  <si>
    <t xml:space="preserve">United States </t>
  </si>
  <si>
    <t>Washington</t>
  </si>
  <si>
    <t>000261702</t>
  </si>
  <si>
    <t>000261703</t>
  </si>
  <si>
    <t>000261704</t>
  </si>
  <si>
    <t>Germany</t>
  </si>
  <si>
    <t>Nordrhein-Westfalen</t>
  </si>
  <si>
    <t>000261705</t>
  </si>
  <si>
    <t>Queensland</t>
  </si>
  <si>
    <t>Mountain-200 Silver, 38</t>
  </si>
  <si>
    <t>000261706</t>
  </si>
  <si>
    <t>000261707</t>
  </si>
  <si>
    <t>000261708</t>
  </si>
  <si>
    <t>Canada</t>
  </si>
  <si>
    <t>British Columbia</t>
  </si>
  <si>
    <t>000261709</t>
  </si>
  <si>
    <t>Mountain-200 Black, 42</t>
  </si>
  <si>
    <t>000261710</t>
  </si>
  <si>
    <t>000261711</t>
  </si>
  <si>
    <t>Mountain-400-W Silver, 38</t>
  </si>
  <si>
    <t>000261712</t>
  </si>
  <si>
    <t>000261713</t>
  </si>
  <si>
    <t>Mountain-500 Silver, 42</t>
  </si>
  <si>
    <t>000261714</t>
  </si>
  <si>
    <t>000261715</t>
  </si>
  <si>
    <t>Oregon</t>
  </si>
  <si>
    <t>000261716</t>
  </si>
  <si>
    <t>Mountain-500 Black, 42</t>
  </si>
  <si>
    <t>000261717</t>
  </si>
  <si>
    <t>Victoria</t>
  </si>
  <si>
    <t>Mountain-100 Black, 38</t>
  </si>
  <si>
    <t>000261718</t>
  </si>
  <si>
    <t>Hamburg</t>
  </si>
  <si>
    <t>000261719</t>
  </si>
  <si>
    <t>000261720</t>
  </si>
  <si>
    <t>000261721</t>
  </si>
  <si>
    <t>000261722</t>
  </si>
  <si>
    <t>Mountain-500 Black, 40</t>
  </si>
  <si>
    <t>000261723</t>
  </si>
  <si>
    <t>Mountain-100 Silver, 44</t>
  </si>
  <si>
    <t>000261724</t>
  </si>
  <si>
    <t>000261725</t>
  </si>
  <si>
    <t>France</t>
  </si>
  <si>
    <t>Seine (Paris)</t>
  </si>
  <si>
    <t>000261726</t>
  </si>
  <si>
    <t>000261727</t>
  </si>
  <si>
    <t>000261728</t>
  </si>
  <si>
    <t>000261729</t>
  </si>
  <si>
    <t>000261730</t>
  </si>
  <si>
    <t>000261731</t>
  </si>
  <si>
    <t>000261732</t>
  </si>
  <si>
    <t>000261733</t>
  </si>
  <si>
    <t>000261734</t>
  </si>
  <si>
    <t>000261735</t>
  </si>
  <si>
    <t>000261736</t>
  </si>
  <si>
    <t>Mountain-500 Silver, 40</t>
  </si>
  <si>
    <t>000261737</t>
  </si>
  <si>
    <t>000261738</t>
  </si>
  <si>
    <t>000261739</t>
  </si>
  <si>
    <t>000261740</t>
  </si>
  <si>
    <t>000261741</t>
  </si>
  <si>
    <t>000261742</t>
  </si>
  <si>
    <t>000261743</t>
  </si>
  <si>
    <t>000261744</t>
  </si>
  <si>
    <t>000261745</t>
  </si>
  <si>
    <t>Seine et Marne</t>
  </si>
  <si>
    <t>Mountain-200 Silver, 46</t>
  </si>
  <si>
    <t>000261746</t>
  </si>
  <si>
    <t>000261747</t>
  </si>
  <si>
    <t>000261748</t>
  </si>
  <si>
    <t>000261749</t>
  </si>
  <si>
    <t>000261750</t>
  </si>
  <si>
    <t>000261751</t>
  </si>
  <si>
    <t>Seine Saint Denis</t>
  </si>
  <si>
    <t>000261752</t>
  </si>
  <si>
    <t>000261753</t>
  </si>
  <si>
    <t>000261754</t>
  </si>
  <si>
    <t>000261755</t>
  </si>
  <si>
    <t>000261756</t>
  </si>
  <si>
    <t>Nord</t>
  </si>
  <si>
    <t>000261757</t>
  </si>
  <si>
    <t>Mountain-500 Black, 44</t>
  </si>
  <si>
    <t>000261758</t>
  </si>
  <si>
    <t>000261759</t>
  </si>
  <si>
    <t>Mountain-100 Black, 48</t>
  </si>
  <si>
    <t>000261760</t>
  </si>
  <si>
    <t>000261761</t>
  </si>
  <si>
    <t>000261762</t>
  </si>
  <si>
    <t>000261763</t>
  </si>
  <si>
    <t>South Australia</t>
  </si>
  <si>
    <t>000261764</t>
  </si>
  <si>
    <t>Hessen</t>
  </si>
  <si>
    <t>000261765</t>
  </si>
  <si>
    <t>000261766</t>
  </si>
  <si>
    <t>000261767</t>
  </si>
  <si>
    <t>000261768</t>
  </si>
  <si>
    <t>Mountain-500 Black, 52</t>
  </si>
  <si>
    <t>000261769</t>
  </si>
  <si>
    <t>000261770</t>
  </si>
  <si>
    <t>000261771</t>
  </si>
  <si>
    <t>Somme</t>
  </si>
  <si>
    <t>000261772</t>
  </si>
  <si>
    <t>000261773</t>
  </si>
  <si>
    <t>000261774</t>
  </si>
  <si>
    <t>000261775</t>
  </si>
  <si>
    <t>000261776</t>
  </si>
  <si>
    <t>000261777</t>
  </si>
  <si>
    <t>000261778</t>
  </si>
  <si>
    <t>000261779</t>
  </si>
  <si>
    <t>000261780</t>
  </si>
  <si>
    <t>000261781</t>
  </si>
  <si>
    <t>000261782</t>
  </si>
  <si>
    <t>000261696</t>
  </si>
  <si>
    <t>Row Labels</t>
  </si>
  <si>
    <t>Grand Total</t>
  </si>
  <si>
    <t>Sum of Order_Quantity</t>
  </si>
  <si>
    <t>Column Labels</t>
  </si>
  <si>
    <t xml:space="preserve">Sum of  Profit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</si>
</sst>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$&quot;#,##0.00_);[Red]\(&quot;$&quot;#,##0.00\)"/>
  </numFmts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9">
    <xf numFmtId="0" fontId="0" fillId="0" borderId="0" xfId="0"/>
    <xf numFmtId="14" fontId="0" fillId="0" borderId="0" xfId="0" applyNumberFormat="1"/>
    <xf numFmtId="164" fontId="0" fillId="0" borderId="0" xfId="0" applyNumberFormat="1"/>
    <xf numFmtId="49" fontId="0" fillId="0" borderId="0" xfId="0" applyNumberFormat="1" applyAlignment="1">
      <alignment horizontal="right"/>
    </xf>
    <xf numFmtId="0" fontId="16" fillId="0" borderId="0" xfId="0" applyFont="1"/>
    <xf numFmtId="0" fontId="19" fillId="0" borderId="0" xfId="0" applyFont="1" applyFill="1" applyBorder="1" applyAlignment="1"/>
    <xf numFmtId="0" fontId="20" fillId="0" borderId="0" xfId="0" applyFont="1" applyFill="1" applyBorder="1" applyAlignment="1"/>
    <xf numFmtId="0" fontId="16" fillId="0" borderId="0" xfId="0" applyFont="1" applyAlignment="1">
      <alignment horizontal="left"/>
    </xf>
    <xf numFmtId="0" fontId="0" fillId="0" borderId="0" xfId="0" applyAlignment="1">
      <alignment horizontal="left"/>
    </xf>
    <xf numFmtId="0" fontId="0" fillId="0" borderId="0" xfId="0" pivotButton="1"/>
    <xf numFmtId="0" fontId="0" fillId="0" borderId="0" xfId="0" applyAlignment="1">
      <alignment horizontal="left" indent="1"/>
    </xf>
    <xf numFmtId="0" fontId="0" fillId="0" borderId="0" xfId="0" pivotButton="1" applyAlignment="1">
      <alignment vertical="center"/>
    </xf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0" fillId="0" borderId="0" xfId="0" pivotButton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NumberFormat="1" applyAlignment="1">
      <alignment horizontal="center" vertical="center"/>
    </xf>
    <xf numFmtId="0" fontId="0" fillId="0" borderId="0" xfId="0" applyAlignment="1">
      <alignment horizontal="left" vertical="center" indent="1"/>
    </xf>
    <xf numFmtId="0" fontId="0" fillId="0" borderId="0" xfId="0" applyNumberFormat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4">
    <dxf>
      <alignment horizontal="center" readingOrder="0"/>
    </dxf>
    <dxf>
      <alignment vertical="center" readingOrder="0"/>
    </dxf>
    <dxf>
      <alignment horizontal="center" readingOrder="0"/>
    </dxf>
    <dxf>
      <alignment horizontal="center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pivotCacheDefinition" Target="pivotCache/pivotCacheDefinition1.xml"/><Relationship Id="rId9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[Bike_Sales_Pivot_Lab.xlsx]Analysis!PivotTable11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PH"/>
              <a:t>Sales Summary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Analysis!$B$3:$B$4</c:f>
              <c:strCache>
                <c:ptCount val="1"/>
                <c:pt idx="0">
                  <c:v>Australia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Analysis!$A$5:$A$10</c:f>
              <c:multiLvlStrCache>
                <c:ptCount val="4"/>
                <c:lvl>
                  <c:pt idx="2">
                    <c:v>F</c:v>
                  </c:pt>
                  <c:pt idx="3">
                    <c:v>M</c:v>
                  </c:pt>
                </c:lvl>
                <c:lvl>
                  <c:pt idx="0">
                    <c:v>Youth (&lt;25)</c:v>
                  </c:pt>
                  <c:pt idx="1">
                    <c:v>Young Adults (25-34)</c:v>
                  </c:pt>
                  <c:pt idx="2">
                    <c:v>Adults (35-64)</c:v>
                  </c:pt>
                </c:lvl>
              </c:multiLvlStrCache>
            </c:multiLvlStrRef>
          </c:cat>
          <c:val>
            <c:numRef>
              <c:f>Analysis!$B$5:$B$10</c:f>
              <c:numCache>
                <c:formatCode>General</c:formatCode>
                <c:ptCount val="4"/>
                <c:pt idx="0">
                  <c:v>11</c:v>
                </c:pt>
                <c:pt idx="1">
                  <c:v>20</c:v>
                </c:pt>
                <c:pt idx="2">
                  <c:v>17</c:v>
                </c:pt>
                <c:pt idx="3">
                  <c:v>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E43-436E-96DC-682AF9ED3F25}"/>
            </c:ext>
          </c:extLst>
        </c:ser>
        <c:ser>
          <c:idx val="1"/>
          <c:order val="1"/>
          <c:tx>
            <c:strRef>
              <c:f>Analysis!$C$3:$C$4</c:f>
              <c:strCache>
                <c:ptCount val="1"/>
                <c:pt idx="0">
                  <c:v>Canada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Analysis!$A$5:$A$10</c:f>
              <c:multiLvlStrCache>
                <c:ptCount val="4"/>
                <c:lvl>
                  <c:pt idx="2">
                    <c:v>F</c:v>
                  </c:pt>
                  <c:pt idx="3">
                    <c:v>M</c:v>
                  </c:pt>
                </c:lvl>
                <c:lvl>
                  <c:pt idx="0">
                    <c:v>Youth (&lt;25)</c:v>
                  </c:pt>
                  <c:pt idx="1">
                    <c:v>Young Adults (25-34)</c:v>
                  </c:pt>
                  <c:pt idx="2">
                    <c:v>Adults (35-64)</c:v>
                  </c:pt>
                </c:lvl>
              </c:multiLvlStrCache>
            </c:multiLvlStrRef>
          </c:cat>
          <c:val>
            <c:numRef>
              <c:f>Analysis!$C$5:$C$10</c:f>
              <c:numCache>
                <c:formatCode>General</c:formatCode>
                <c:ptCount val="4"/>
                <c:pt idx="0">
                  <c:v>0</c:v>
                </c:pt>
                <c:pt idx="1">
                  <c:v>11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E43-436E-96DC-682AF9ED3F25}"/>
            </c:ext>
          </c:extLst>
        </c:ser>
        <c:ser>
          <c:idx val="2"/>
          <c:order val="2"/>
          <c:tx>
            <c:strRef>
              <c:f>Analysis!$D$3:$D$4</c:f>
              <c:strCache>
                <c:ptCount val="1"/>
                <c:pt idx="0">
                  <c:v>France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multiLvlStrRef>
              <c:f>Analysis!$A$5:$A$10</c:f>
              <c:multiLvlStrCache>
                <c:ptCount val="4"/>
                <c:lvl>
                  <c:pt idx="2">
                    <c:v>F</c:v>
                  </c:pt>
                  <c:pt idx="3">
                    <c:v>M</c:v>
                  </c:pt>
                </c:lvl>
                <c:lvl>
                  <c:pt idx="0">
                    <c:v>Youth (&lt;25)</c:v>
                  </c:pt>
                  <c:pt idx="1">
                    <c:v>Young Adults (25-34)</c:v>
                  </c:pt>
                  <c:pt idx="2">
                    <c:v>Adults (35-64)</c:v>
                  </c:pt>
                </c:lvl>
              </c:multiLvlStrCache>
            </c:multiLvlStrRef>
          </c:cat>
          <c:val>
            <c:numRef>
              <c:f>Analysis!$D$5:$D$10</c:f>
              <c:numCache>
                <c:formatCode>General</c:formatCode>
                <c:ptCount val="4"/>
                <c:pt idx="0">
                  <c:v>10</c:v>
                </c:pt>
                <c:pt idx="1">
                  <c:v>10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E43-436E-96DC-682AF9ED3F25}"/>
            </c:ext>
          </c:extLst>
        </c:ser>
        <c:ser>
          <c:idx val="3"/>
          <c:order val="3"/>
          <c:tx>
            <c:strRef>
              <c:f>Analysis!$E$3:$E$4</c:f>
              <c:strCache>
                <c:ptCount val="1"/>
                <c:pt idx="0">
                  <c:v>Germany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multiLvlStrRef>
              <c:f>Analysis!$A$5:$A$10</c:f>
              <c:multiLvlStrCache>
                <c:ptCount val="4"/>
                <c:lvl>
                  <c:pt idx="2">
                    <c:v>F</c:v>
                  </c:pt>
                  <c:pt idx="3">
                    <c:v>M</c:v>
                  </c:pt>
                </c:lvl>
                <c:lvl>
                  <c:pt idx="0">
                    <c:v>Youth (&lt;25)</c:v>
                  </c:pt>
                  <c:pt idx="1">
                    <c:v>Young Adults (25-34)</c:v>
                  </c:pt>
                  <c:pt idx="2">
                    <c:v>Adults (35-64)</c:v>
                  </c:pt>
                </c:lvl>
              </c:multiLvlStrCache>
            </c:multiLvlStrRef>
          </c:cat>
          <c:val>
            <c:numRef>
              <c:f>Analysis!$E$5:$E$10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8</c:v>
                </c:pt>
                <c:pt idx="3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E43-436E-96DC-682AF9ED3F25}"/>
            </c:ext>
          </c:extLst>
        </c:ser>
        <c:ser>
          <c:idx val="4"/>
          <c:order val="4"/>
          <c:tx>
            <c:strRef>
              <c:f>Analysis!$F$3:$F$4</c:f>
              <c:strCache>
                <c:ptCount val="1"/>
                <c:pt idx="0">
                  <c:v>United  States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multiLvlStrRef>
              <c:f>Analysis!$A$5:$A$10</c:f>
              <c:multiLvlStrCache>
                <c:ptCount val="4"/>
                <c:lvl>
                  <c:pt idx="2">
                    <c:v>F</c:v>
                  </c:pt>
                  <c:pt idx="3">
                    <c:v>M</c:v>
                  </c:pt>
                </c:lvl>
                <c:lvl>
                  <c:pt idx="0">
                    <c:v>Youth (&lt;25)</c:v>
                  </c:pt>
                  <c:pt idx="1">
                    <c:v>Young Adults (25-34)</c:v>
                  </c:pt>
                  <c:pt idx="2">
                    <c:v>Adults (35-64)</c:v>
                  </c:pt>
                </c:lvl>
              </c:multiLvlStrCache>
            </c:multiLvlStrRef>
          </c:cat>
          <c:val>
            <c:numRef>
              <c:f>Analysis!$F$5:$F$10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2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E43-436E-96DC-682AF9ED3F25}"/>
            </c:ext>
          </c:extLst>
        </c:ser>
        <c:ser>
          <c:idx val="5"/>
          <c:order val="5"/>
          <c:tx>
            <c:strRef>
              <c:f>Analysis!$G$3:$G$4</c:f>
              <c:strCache>
                <c:ptCount val="1"/>
                <c:pt idx="0">
                  <c:v>United Kingdom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multiLvlStrRef>
              <c:f>Analysis!$A$5:$A$10</c:f>
              <c:multiLvlStrCache>
                <c:ptCount val="4"/>
                <c:lvl>
                  <c:pt idx="2">
                    <c:v>F</c:v>
                  </c:pt>
                  <c:pt idx="3">
                    <c:v>M</c:v>
                  </c:pt>
                </c:lvl>
                <c:lvl>
                  <c:pt idx="0">
                    <c:v>Youth (&lt;25)</c:v>
                  </c:pt>
                  <c:pt idx="1">
                    <c:v>Young Adults (25-34)</c:v>
                  </c:pt>
                  <c:pt idx="2">
                    <c:v>Adults (35-64)</c:v>
                  </c:pt>
                </c:lvl>
              </c:multiLvlStrCache>
            </c:multiLvlStrRef>
          </c:cat>
          <c:val>
            <c:numRef>
              <c:f>Analysis!$G$5:$G$10</c:f>
              <c:numCache>
                <c:formatCode>General</c:formatCode>
                <c:ptCount val="4"/>
                <c:pt idx="0">
                  <c:v>6</c:v>
                </c:pt>
                <c:pt idx="1">
                  <c:v>4</c:v>
                </c:pt>
                <c:pt idx="2">
                  <c:v>1</c:v>
                </c:pt>
                <c:pt idx="3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8E43-436E-96DC-682AF9ED3F25}"/>
            </c:ext>
          </c:extLst>
        </c:ser>
        <c:ser>
          <c:idx val="6"/>
          <c:order val="6"/>
          <c:tx>
            <c:strRef>
              <c:f>Analysis!$H$3:$H$4</c:f>
              <c:strCache>
                <c:ptCount val="1"/>
                <c:pt idx="0">
                  <c:v>United States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Analysis!$A$5:$A$10</c:f>
              <c:multiLvlStrCache>
                <c:ptCount val="4"/>
                <c:lvl>
                  <c:pt idx="2">
                    <c:v>F</c:v>
                  </c:pt>
                  <c:pt idx="3">
                    <c:v>M</c:v>
                  </c:pt>
                </c:lvl>
                <c:lvl>
                  <c:pt idx="0">
                    <c:v>Youth (&lt;25)</c:v>
                  </c:pt>
                  <c:pt idx="1">
                    <c:v>Young Adults (25-34)</c:v>
                  </c:pt>
                  <c:pt idx="2">
                    <c:v>Adults (35-64)</c:v>
                  </c:pt>
                </c:lvl>
              </c:multiLvlStrCache>
            </c:multiLvlStrRef>
          </c:cat>
          <c:val>
            <c:numRef>
              <c:f>Analysis!$H$5:$H$10</c:f>
              <c:numCache>
                <c:formatCode>General</c:formatCode>
                <c:ptCount val="4"/>
                <c:pt idx="0">
                  <c:v>0</c:v>
                </c:pt>
                <c:pt idx="1">
                  <c:v>16</c:v>
                </c:pt>
                <c:pt idx="2">
                  <c:v>27</c:v>
                </c:pt>
                <c:pt idx="3">
                  <c:v>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8E43-436E-96DC-682AF9ED3F25}"/>
            </c:ext>
          </c:extLst>
        </c:ser>
        <c:ser>
          <c:idx val="7"/>
          <c:order val="7"/>
          <c:tx>
            <c:strRef>
              <c:f>Analysis!$I$3:$I$4</c:f>
              <c:strCache>
                <c:ptCount val="1"/>
                <c:pt idx="0">
                  <c:v>United States 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Analysis!$A$5:$A$10</c:f>
              <c:multiLvlStrCache>
                <c:ptCount val="4"/>
                <c:lvl>
                  <c:pt idx="2">
                    <c:v>F</c:v>
                  </c:pt>
                  <c:pt idx="3">
                    <c:v>M</c:v>
                  </c:pt>
                </c:lvl>
                <c:lvl>
                  <c:pt idx="0">
                    <c:v>Youth (&lt;25)</c:v>
                  </c:pt>
                  <c:pt idx="1">
                    <c:v>Young Adults (25-34)</c:v>
                  </c:pt>
                  <c:pt idx="2">
                    <c:v>Adults (35-64)</c:v>
                  </c:pt>
                </c:lvl>
              </c:multiLvlStrCache>
            </c:multiLvlStrRef>
          </c:cat>
          <c:val>
            <c:numRef>
              <c:f>Analysis!$I$5:$I$10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8E43-436E-96DC-682AF9ED3F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805843184"/>
        <c:axId val="1805846512"/>
      </c:barChart>
      <c:catAx>
        <c:axId val="18058431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05846512"/>
        <c:crosses val="autoZero"/>
        <c:auto val="1"/>
        <c:lblAlgn val="ctr"/>
        <c:lblOffset val="100"/>
        <c:noMultiLvlLbl val="0"/>
      </c:catAx>
      <c:valAx>
        <c:axId val="18058465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058431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[Bike_Sales_Pivot_Lab.xlsx]Most Profit!PivotTable14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PH"/>
              <a:t>Most Profitable</a:t>
            </a:r>
            <a:endParaRPr lang="en-PH" baseline="0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'Most Profit'!$B$3:$B$4</c:f>
              <c:strCache>
                <c:ptCount val="1"/>
                <c:pt idx="0">
                  <c:v>Australia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'Most Profit'!$A$5:$A$13</c:f>
              <c:multiLvlStrCache>
                <c:ptCount val="6"/>
                <c:lvl>
                  <c:pt idx="0">
                    <c:v>Adults (35-64)</c:v>
                  </c:pt>
                  <c:pt idx="1">
                    <c:v>Young Adults (25-34)</c:v>
                  </c:pt>
                  <c:pt idx="2">
                    <c:v>Youth (&lt;25)</c:v>
                  </c:pt>
                  <c:pt idx="3">
                    <c:v>Adults (35-64)</c:v>
                  </c:pt>
                  <c:pt idx="4">
                    <c:v>Young Adults (25-34)</c:v>
                  </c:pt>
                  <c:pt idx="5">
                    <c:v>Youth (&lt;25)</c:v>
                  </c:pt>
                </c:lvl>
                <c:lvl>
                  <c:pt idx="0">
                    <c:v>F</c:v>
                  </c:pt>
                  <c:pt idx="3">
                    <c:v>M</c:v>
                  </c:pt>
                </c:lvl>
              </c:multiLvlStrCache>
            </c:multiLvlStrRef>
          </c:cat>
          <c:val>
            <c:numRef>
              <c:f>'Most Profit'!$B$5:$B$13</c:f>
              <c:numCache>
                <c:formatCode>General</c:formatCode>
                <c:ptCount val="6"/>
                <c:pt idx="0">
                  <c:v>13276</c:v>
                </c:pt>
                <c:pt idx="1">
                  <c:v>16204</c:v>
                </c:pt>
                <c:pt idx="2">
                  <c:v>2265</c:v>
                </c:pt>
                <c:pt idx="3">
                  <c:v>15656</c:v>
                </c:pt>
                <c:pt idx="4">
                  <c:v>2435</c:v>
                </c:pt>
                <c:pt idx="5">
                  <c:v>490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6CF-4729-8052-A1AAA6E55404}"/>
            </c:ext>
          </c:extLst>
        </c:ser>
        <c:ser>
          <c:idx val="1"/>
          <c:order val="1"/>
          <c:tx>
            <c:strRef>
              <c:f>'Most Profit'!$C$3:$C$4</c:f>
              <c:strCache>
                <c:ptCount val="1"/>
                <c:pt idx="0">
                  <c:v>Canada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'Most Profit'!$A$5:$A$13</c:f>
              <c:multiLvlStrCache>
                <c:ptCount val="6"/>
                <c:lvl>
                  <c:pt idx="0">
                    <c:v>Adults (35-64)</c:v>
                  </c:pt>
                  <c:pt idx="1">
                    <c:v>Young Adults (25-34)</c:v>
                  </c:pt>
                  <c:pt idx="2">
                    <c:v>Youth (&lt;25)</c:v>
                  </c:pt>
                  <c:pt idx="3">
                    <c:v>Adults (35-64)</c:v>
                  </c:pt>
                  <c:pt idx="4">
                    <c:v>Young Adults (25-34)</c:v>
                  </c:pt>
                  <c:pt idx="5">
                    <c:v>Youth (&lt;25)</c:v>
                  </c:pt>
                </c:lvl>
                <c:lvl>
                  <c:pt idx="0">
                    <c:v>F</c:v>
                  </c:pt>
                  <c:pt idx="3">
                    <c:v>M</c:v>
                  </c:pt>
                </c:lvl>
              </c:multiLvlStrCache>
            </c:multiLvlStrRef>
          </c:cat>
          <c:val>
            <c:numRef>
              <c:f>'Most Profit'!$C$5:$C$13</c:f>
              <c:numCache>
                <c:formatCode>General</c:formatCode>
                <c:ptCount val="6"/>
                <c:pt idx="0">
                  <c:v>0</c:v>
                </c:pt>
                <c:pt idx="1">
                  <c:v>6302</c:v>
                </c:pt>
                <c:pt idx="2">
                  <c:v>0</c:v>
                </c:pt>
                <c:pt idx="3">
                  <c:v>0</c:v>
                </c:pt>
                <c:pt idx="4">
                  <c:v>2821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6CF-4729-8052-A1AAA6E55404}"/>
            </c:ext>
          </c:extLst>
        </c:ser>
        <c:ser>
          <c:idx val="2"/>
          <c:order val="2"/>
          <c:tx>
            <c:strRef>
              <c:f>'Most Profit'!$D$3:$D$4</c:f>
              <c:strCache>
                <c:ptCount val="1"/>
                <c:pt idx="0">
                  <c:v>France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multiLvlStrRef>
              <c:f>'Most Profit'!$A$5:$A$13</c:f>
              <c:multiLvlStrCache>
                <c:ptCount val="6"/>
                <c:lvl>
                  <c:pt idx="0">
                    <c:v>Adults (35-64)</c:v>
                  </c:pt>
                  <c:pt idx="1">
                    <c:v>Young Adults (25-34)</c:v>
                  </c:pt>
                  <c:pt idx="2">
                    <c:v>Youth (&lt;25)</c:v>
                  </c:pt>
                  <c:pt idx="3">
                    <c:v>Adults (35-64)</c:v>
                  </c:pt>
                  <c:pt idx="4">
                    <c:v>Young Adults (25-34)</c:v>
                  </c:pt>
                  <c:pt idx="5">
                    <c:v>Youth (&lt;25)</c:v>
                  </c:pt>
                </c:lvl>
                <c:lvl>
                  <c:pt idx="0">
                    <c:v>F</c:v>
                  </c:pt>
                  <c:pt idx="3">
                    <c:v>M</c:v>
                  </c:pt>
                </c:lvl>
              </c:multiLvlStrCache>
            </c:multiLvlStrRef>
          </c:cat>
          <c:val>
            <c:numRef>
              <c:f>'Most Profit'!$D$5:$D$13</c:f>
              <c:numCache>
                <c:formatCode>General</c:formatCode>
                <c:ptCount val="6"/>
                <c:pt idx="0">
                  <c:v>0</c:v>
                </c:pt>
                <c:pt idx="1">
                  <c:v>1054</c:v>
                </c:pt>
                <c:pt idx="2">
                  <c:v>6291</c:v>
                </c:pt>
                <c:pt idx="3">
                  <c:v>0</c:v>
                </c:pt>
                <c:pt idx="4">
                  <c:v>9420</c:v>
                </c:pt>
                <c:pt idx="5">
                  <c:v>4216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6CF-4729-8052-A1AAA6E55404}"/>
            </c:ext>
          </c:extLst>
        </c:ser>
        <c:ser>
          <c:idx val="3"/>
          <c:order val="3"/>
          <c:tx>
            <c:strRef>
              <c:f>'Most Profit'!$E$3:$E$4</c:f>
              <c:strCache>
                <c:ptCount val="1"/>
                <c:pt idx="0">
                  <c:v>Germany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multiLvlStrRef>
              <c:f>'Most Profit'!$A$5:$A$13</c:f>
              <c:multiLvlStrCache>
                <c:ptCount val="6"/>
                <c:lvl>
                  <c:pt idx="0">
                    <c:v>Adults (35-64)</c:v>
                  </c:pt>
                  <c:pt idx="1">
                    <c:v>Young Adults (25-34)</c:v>
                  </c:pt>
                  <c:pt idx="2">
                    <c:v>Youth (&lt;25)</c:v>
                  </c:pt>
                  <c:pt idx="3">
                    <c:v>Adults (35-64)</c:v>
                  </c:pt>
                  <c:pt idx="4">
                    <c:v>Young Adults (25-34)</c:v>
                  </c:pt>
                  <c:pt idx="5">
                    <c:v>Youth (&lt;25)</c:v>
                  </c:pt>
                </c:lvl>
                <c:lvl>
                  <c:pt idx="0">
                    <c:v>F</c:v>
                  </c:pt>
                  <c:pt idx="3">
                    <c:v>M</c:v>
                  </c:pt>
                </c:lvl>
              </c:multiLvlStrCache>
            </c:multiLvlStrRef>
          </c:cat>
          <c:val>
            <c:numRef>
              <c:f>'Most Profit'!$E$5:$E$13</c:f>
              <c:numCache>
                <c:formatCode>General</c:formatCode>
                <c:ptCount val="6"/>
                <c:pt idx="0">
                  <c:v>8410</c:v>
                </c:pt>
                <c:pt idx="1">
                  <c:v>0</c:v>
                </c:pt>
                <c:pt idx="2">
                  <c:v>0</c:v>
                </c:pt>
                <c:pt idx="3">
                  <c:v>5226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6CF-4729-8052-A1AAA6E55404}"/>
            </c:ext>
          </c:extLst>
        </c:ser>
        <c:ser>
          <c:idx val="4"/>
          <c:order val="4"/>
          <c:tx>
            <c:strRef>
              <c:f>'Most Profit'!$F$3:$F$4</c:f>
              <c:strCache>
                <c:ptCount val="1"/>
                <c:pt idx="0">
                  <c:v>United  States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multiLvlStrRef>
              <c:f>'Most Profit'!$A$5:$A$13</c:f>
              <c:multiLvlStrCache>
                <c:ptCount val="6"/>
                <c:lvl>
                  <c:pt idx="0">
                    <c:v>Adults (35-64)</c:v>
                  </c:pt>
                  <c:pt idx="1">
                    <c:v>Young Adults (25-34)</c:v>
                  </c:pt>
                  <c:pt idx="2">
                    <c:v>Youth (&lt;25)</c:v>
                  </c:pt>
                  <c:pt idx="3">
                    <c:v>Adults (35-64)</c:v>
                  </c:pt>
                  <c:pt idx="4">
                    <c:v>Young Adults (25-34)</c:v>
                  </c:pt>
                  <c:pt idx="5">
                    <c:v>Youth (&lt;25)</c:v>
                  </c:pt>
                </c:lvl>
                <c:lvl>
                  <c:pt idx="0">
                    <c:v>F</c:v>
                  </c:pt>
                  <c:pt idx="3">
                    <c:v>M</c:v>
                  </c:pt>
                </c:lvl>
              </c:multiLvlStrCache>
            </c:multiLvlStrRef>
          </c:cat>
          <c:val>
            <c:numRef>
              <c:f>'Most Profit'!$F$5:$F$13</c:f>
              <c:numCache>
                <c:formatCode>General</c:formatCode>
                <c:ptCount val="6"/>
                <c:pt idx="0">
                  <c:v>2086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6CF-4729-8052-A1AAA6E55404}"/>
            </c:ext>
          </c:extLst>
        </c:ser>
        <c:ser>
          <c:idx val="5"/>
          <c:order val="5"/>
          <c:tx>
            <c:strRef>
              <c:f>'Most Profit'!$G$3:$G$4</c:f>
              <c:strCache>
                <c:ptCount val="1"/>
                <c:pt idx="0">
                  <c:v>United Kingdom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multiLvlStrRef>
              <c:f>'Most Profit'!$A$5:$A$13</c:f>
              <c:multiLvlStrCache>
                <c:ptCount val="6"/>
                <c:lvl>
                  <c:pt idx="0">
                    <c:v>Adults (35-64)</c:v>
                  </c:pt>
                  <c:pt idx="1">
                    <c:v>Young Adults (25-34)</c:v>
                  </c:pt>
                  <c:pt idx="2">
                    <c:v>Youth (&lt;25)</c:v>
                  </c:pt>
                  <c:pt idx="3">
                    <c:v>Adults (35-64)</c:v>
                  </c:pt>
                  <c:pt idx="4">
                    <c:v>Young Adults (25-34)</c:v>
                  </c:pt>
                  <c:pt idx="5">
                    <c:v>Youth (&lt;25)</c:v>
                  </c:pt>
                </c:lvl>
                <c:lvl>
                  <c:pt idx="0">
                    <c:v>F</c:v>
                  </c:pt>
                  <c:pt idx="3">
                    <c:v>M</c:v>
                  </c:pt>
                </c:lvl>
              </c:multiLvlStrCache>
            </c:multiLvlStrRef>
          </c:cat>
          <c:val>
            <c:numRef>
              <c:f>'Most Profit'!$G$5:$G$13</c:f>
              <c:numCache>
                <c:formatCode>General</c:formatCode>
                <c:ptCount val="6"/>
                <c:pt idx="0">
                  <c:v>1043</c:v>
                </c:pt>
                <c:pt idx="1">
                  <c:v>1047</c:v>
                </c:pt>
                <c:pt idx="2">
                  <c:v>1043</c:v>
                </c:pt>
                <c:pt idx="3">
                  <c:v>3151</c:v>
                </c:pt>
                <c:pt idx="4">
                  <c:v>1043</c:v>
                </c:pt>
                <c:pt idx="5">
                  <c:v>1745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E6CF-4729-8052-A1AAA6E55404}"/>
            </c:ext>
          </c:extLst>
        </c:ser>
        <c:ser>
          <c:idx val="6"/>
          <c:order val="6"/>
          <c:tx>
            <c:strRef>
              <c:f>'Most Profit'!$H$3:$H$4</c:f>
              <c:strCache>
                <c:ptCount val="1"/>
                <c:pt idx="0">
                  <c:v>United States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'Most Profit'!$A$5:$A$13</c:f>
              <c:multiLvlStrCache>
                <c:ptCount val="6"/>
                <c:lvl>
                  <c:pt idx="0">
                    <c:v>Adults (35-64)</c:v>
                  </c:pt>
                  <c:pt idx="1">
                    <c:v>Young Adults (25-34)</c:v>
                  </c:pt>
                  <c:pt idx="2">
                    <c:v>Youth (&lt;25)</c:v>
                  </c:pt>
                  <c:pt idx="3">
                    <c:v>Adults (35-64)</c:v>
                  </c:pt>
                  <c:pt idx="4">
                    <c:v>Young Adults (25-34)</c:v>
                  </c:pt>
                  <c:pt idx="5">
                    <c:v>Youth (&lt;25)</c:v>
                  </c:pt>
                </c:lvl>
                <c:lvl>
                  <c:pt idx="0">
                    <c:v>F</c:v>
                  </c:pt>
                  <c:pt idx="3">
                    <c:v>M</c:v>
                  </c:pt>
                </c:lvl>
              </c:multiLvlStrCache>
            </c:multiLvlStrRef>
          </c:cat>
          <c:val>
            <c:numRef>
              <c:f>'Most Profit'!$H$5:$H$13</c:f>
              <c:numCache>
                <c:formatCode>General</c:formatCode>
                <c:ptCount val="6"/>
                <c:pt idx="0">
                  <c:v>27570</c:v>
                </c:pt>
                <c:pt idx="1">
                  <c:v>10952</c:v>
                </c:pt>
                <c:pt idx="2">
                  <c:v>0</c:v>
                </c:pt>
                <c:pt idx="3">
                  <c:v>16035</c:v>
                </c:pt>
                <c:pt idx="4">
                  <c:v>2684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6CF-4729-8052-A1AAA6E55404}"/>
            </c:ext>
          </c:extLst>
        </c:ser>
        <c:ser>
          <c:idx val="7"/>
          <c:order val="7"/>
          <c:tx>
            <c:strRef>
              <c:f>'Most Profit'!$I$3:$I$4</c:f>
              <c:strCache>
                <c:ptCount val="1"/>
                <c:pt idx="0">
                  <c:v>United States 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'Most Profit'!$A$5:$A$13</c:f>
              <c:multiLvlStrCache>
                <c:ptCount val="6"/>
                <c:lvl>
                  <c:pt idx="0">
                    <c:v>Adults (35-64)</c:v>
                  </c:pt>
                  <c:pt idx="1">
                    <c:v>Young Adults (25-34)</c:v>
                  </c:pt>
                  <c:pt idx="2">
                    <c:v>Youth (&lt;25)</c:v>
                  </c:pt>
                  <c:pt idx="3">
                    <c:v>Adults (35-64)</c:v>
                  </c:pt>
                  <c:pt idx="4">
                    <c:v>Young Adults (25-34)</c:v>
                  </c:pt>
                  <c:pt idx="5">
                    <c:v>Youth (&lt;25)</c:v>
                  </c:pt>
                </c:lvl>
                <c:lvl>
                  <c:pt idx="0">
                    <c:v>F</c:v>
                  </c:pt>
                  <c:pt idx="3">
                    <c:v>M</c:v>
                  </c:pt>
                </c:lvl>
              </c:multiLvlStrCache>
            </c:multiLvlStrRef>
          </c:cat>
          <c:val>
            <c:numRef>
              <c:f>'Most Profit'!$I$5:$I$13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1043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E6CF-4729-8052-A1AAA6E55404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802720624"/>
        <c:axId val="1802710224"/>
      </c:barChart>
      <c:catAx>
        <c:axId val="180272062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02710224"/>
        <c:crosses val="autoZero"/>
        <c:auto val="1"/>
        <c:lblAlgn val="ctr"/>
        <c:lblOffset val="100"/>
        <c:noMultiLvlLbl val="0"/>
      </c:catAx>
      <c:valAx>
        <c:axId val="18027102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027206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485775</xdr:colOff>
      <xdr:row>12</xdr:row>
      <xdr:rowOff>38100</xdr:rowOff>
    </xdr:from>
    <xdr:to>
      <xdr:col>7</xdr:col>
      <xdr:colOff>714375</xdr:colOff>
      <xdr:row>26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485775</xdr:colOff>
      <xdr:row>15</xdr:row>
      <xdr:rowOff>19050</xdr:rowOff>
    </xdr:from>
    <xdr:to>
      <xdr:col>8</xdr:col>
      <xdr:colOff>676275</xdr:colOff>
      <xdr:row>29</xdr:row>
      <xdr:rowOff>95250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COMLAB" refreshedDate="46073.733425347222" createdVersion="6" refreshedVersion="6" minRefreshableVersion="3" recordCount="88">
  <cacheSource type="worksheet">
    <worksheetSource ref="A1:S89" sheet="Bike Sales"/>
  </cacheSource>
  <cacheFields count="19">
    <cacheField name="Sales_Order #" numFmtId="49">
      <sharedItems/>
    </cacheField>
    <cacheField name="Date" numFmtId="14">
      <sharedItems containsSemiMixedTypes="0" containsNonDate="0" containsDate="1" containsString="0" minDate="2021-12-01T00:00:00" maxDate="2021-12-25T00:00:00"/>
    </cacheField>
    <cacheField name="Day" numFmtId="0">
      <sharedItems containsString="0" containsBlank="1" containsNumber="1" containsInteger="1" minValue="1" maxValue="24"/>
    </cacheField>
    <cacheField name="Month" numFmtId="0">
      <sharedItems/>
    </cacheField>
    <cacheField name="Year" numFmtId="0">
      <sharedItems containsSemiMixedTypes="0" containsString="0" containsNumber="1" containsInteger="1" minValue="2021" maxValue="2021"/>
    </cacheField>
    <cacheField name="Customer_Age" numFmtId="0">
      <sharedItems containsSemiMixedTypes="0" containsString="0" containsNumber="1" containsInteger="1" minValue="17" maxValue="63"/>
    </cacheField>
    <cacheField name="Age_Group" numFmtId="0">
      <sharedItems count="3">
        <s v="Adults (35-64)"/>
        <s v="Young Adults (25-34)"/>
        <s v="Youth (&lt;25)"/>
      </sharedItems>
    </cacheField>
    <cacheField name="Customer_Gender" numFmtId="0">
      <sharedItems count="2">
        <s v="F"/>
        <s v="M"/>
      </sharedItems>
    </cacheField>
    <cacheField name="Country" numFmtId="0">
      <sharedItems count="8">
        <s v="United States"/>
        <s v="United Kingdom"/>
        <s v="Australia"/>
        <s v="United  States"/>
        <s v="United States "/>
        <s v="Germany"/>
        <s v="Canada"/>
        <s v="France"/>
      </sharedItems>
    </cacheField>
    <cacheField name="State" numFmtId="0">
      <sharedItems/>
    </cacheField>
    <cacheField name="Product_Category" numFmtId="0">
      <sharedItems/>
    </cacheField>
    <cacheField name="Sub_Category" numFmtId="0">
      <sharedItems/>
    </cacheField>
    <cacheField name="Product_Description" numFmtId="0">
      <sharedItems/>
    </cacheField>
    <cacheField name="Order_Quantity" numFmtId="0">
      <sharedItems containsSemiMixedTypes="0" containsString="0" containsNumber="1" containsInteger="1" minValue="1" maxValue="4" count="4">
        <n v="4"/>
        <n v="1"/>
        <n v="2"/>
        <n v="3"/>
      </sharedItems>
    </cacheField>
    <cacheField name=" Unit_Cost " numFmtId="164">
      <sharedItems containsSemiMixedTypes="0" containsString="0" containsNumber="1" containsInteger="1" minValue="295" maxValue="1912"/>
    </cacheField>
    <cacheField name=" Unit_Price " numFmtId="164">
      <sharedItems containsSemiMixedTypes="0" containsString="0" containsNumber="1" containsInteger="1" minValue="540" maxValue="3400"/>
    </cacheField>
    <cacheField name=" Profit " numFmtId="164">
      <sharedItems containsSemiMixedTypes="0" containsString="0" containsNumber="1" containsInteger="1" minValue="245" maxValue="5908"/>
    </cacheField>
    <cacheField name=" Cost " numFmtId="164">
      <sharedItems containsSemiMixedTypes="0" containsString="0" containsNumber="1" containsInteger="1" minValue="295" maxValue="7592"/>
    </cacheField>
    <cacheField name="Revenue" numFmtId="164">
      <sharedItems containsSemiMixedTypes="0" containsString="0" containsNumber="1" containsInteger="1" minValue="540" maxValue="135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88">
  <r>
    <s v="000261696"/>
    <d v="2021-12-01T00:00:00"/>
    <n v="1"/>
    <s v="December"/>
    <n v="2021"/>
    <n v="39"/>
    <x v="0"/>
    <x v="0"/>
    <x v="0"/>
    <s v="California"/>
    <s v="Bikes"/>
    <s v="Mountain Bikes"/>
    <s v="Mountain-200 Black, 46"/>
    <x v="0"/>
    <n v="1252"/>
    <n v="2295"/>
    <n v="4172"/>
    <n v="5008"/>
    <n v="9180"/>
  </r>
  <r>
    <s v="000261695"/>
    <d v="2021-12-01T00:00:00"/>
    <n v="1"/>
    <s v="December"/>
    <n v="2021"/>
    <n v="44"/>
    <x v="0"/>
    <x v="1"/>
    <x v="1"/>
    <s v="England"/>
    <s v="Bikes"/>
    <s v="Mountain Bikes"/>
    <s v="Mountain-200 Silver, 42"/>
    <x v="1"/>
    <n v="1266"/>
    <n v="2320"/>
    <n v="1054"/>
    <n v="1266"/>
    <n v="2320"/>
  </r>
  <r>
    <s v="000261697"/>
    <d v="2021-12-02T00:00:00"/>
    <n v="2"/>
    <s v="December"/>
    <n v="2021"/>
    <n v="37"/>
    <x v="0"/>
    <x v="1"/>
    <x v="0"/>
    <s v="California"/>
    <s v="Bikes"/>
    <s v="Mountain Bikes"/>
    <s v="Mountain-400-W Silver, 46"/>
    <x v="2"/>
    <n v="420"/>
    <n v="769"/>
    <n v="698"/>
    <n v="840"/>
    <n v="1538"/>
  </r>
  <r>
    <s v="000261698"/>
    <d v="2021-12-02T00:00:00"/>
    <n v="2"/>
    <s v="December"/>
    <n v="2021"/>
    <n v="31"/>
    <x v="1"/>
    <x v="0"/>
    <x v="2"/>
    <s v="New South Wales"/>
    <s v="Bikes"/>
    <s v="Mountain Bikes"/>
    <s v="Mountain-400-W Silver, 42"/>
    <x v="1"/>
    <n v="420"/>
    <n v="769"/>
    <n v="349"/>
    <n v="420"/>
    <n v="769"/>
  </r>
  <r>
    <s v="000261699"/>
    <d v="2021-12-03T00:00:00"/>
    <n v="3"/>
    <s v="December"/>
    <n v="2021"/>
    <n v="37"/>
    <x v="0"/>
    <x v="0"/>
    <x v="3"/>
    <s v="California"/>
    <s v="Bikes"/>
    <s v="Mountain Bikes"/>
    <s v="Mountain-200 Black, 46"/>
    <x v="2"/>
    <n v="1252"/>
    <n v="2295"/>
    <n v="2086"/>
    <n v="2504"/>
    <n v="4590"/>
  </r>
  <r>
    <s v="000261700"/>
    <d v="2021-12-03T00:00:00"/>
    <n v="3"/>
    <s v="December"/>
    <n v="2021"/>
    <n v="24"/>
    <x v="2"/>
    <x v="0"/>
    <x v="1"/>
    <s v="England"/>
    <s v="Bikes"/>
    <s v="Mountain Bikes"/>
    <s v="Mountain-200 Black, 38"/>
    <x v="1"/>
    <n v="1252"/>
    <n v="2295"/>
    <n v="1043"/>
    <n v="1252"/>
    <n v="2295"/>
  </r>
  <r>
    <s v="000261701"/>
    <d v="2021-12-03T00:00:00"/>
    <n v="3"/>
    <s v="December"/>
    <n v="2021"/>
    <n v="37"/>
    <x v="0"/>
    <x v="1"/>
    <x v="4"/>
    <s v="Washington"/>
    <s v="Bikes"/>
    <s v="Mountain Bikes"/>
    <s v="Mountain-200 Black, 46"/>
    <x v="1"/>
    <n v="1252"/>
    <n v="2295"/>
    <n v="1043"/>
    <n v="1252"/>
    <n v="2295"/>
  </r>
  <r>
    <s v="000261702"/>
    <d v="2021-12-04T00:00:00"/>
    <n v="4"/>
    <s v="December"/>
    <n v="2021"/>
    <n v="31"/>
    <x v="1"/>
    <x v="0"/>
    <x v="2"/>
    <s v="New South Wales"/>
    <s v="Bikes"/>
    <s v="Mountain Bikes"/>
    <s v="Mountain-400-W Silver, 42"/>
    <x v="0"/>
    <n v="420"/>
    <n v="769"/>
    <n v="1396"/>
    <n v="1680"/>
    <n v="3076"/>
  </r>
  <r>
    <s v="000261703"/>
    <d v="2021-12-05T00:00:00"/>
    <n v="5"/>
    <s v="December"/>
    <n v="2021"/>
    <n v="39"/>
    <x v="0"/>
    <x v="0"/>
    <x v="0"/>
    <s v="California"/>
    <s v="Bikes"/>
    <s v="Mountain Bikes"/>
    <s v="Mountain-200 Black, 46"/>
    <x v="0"/>
    <n v="1252"/>
    <n v="2295"/>
    <n v="4172"/>
    <n v="5008"/>
    <n v="9180"/>
  </r>
  <r>
    <s v="000261704"/>
    <d v="2021-12-05T00:00:00"/>
    <m/>
    <s v="December"/>
    <n v="2021"/>
    <n v="42"/>
    <x v="0"/>
    <x v="1"/>
    <x v="5"/>
    <s v="Nordrhein-Westfalen"/>
    <s v="Bikes"/>
    <s v="Mountain Bikes"/>
    <s v="Mountain-200 Black, 38"/>
    <x v="0"/>
    <n v="1252"/>
    <n v="2295"/>
    <n v="4172"/>
    <n v="5008"/>
    <n v="9180"/>
  </r>
  <r>
    <s v="000261705"/>
    <d v="2021-12-05T00:00:00"/>
    <n v="5"/>
    <s v="December"/>
    <n v="2021"/>
    <n v="35"/>
    <x v="0"/>
    <x v="0"/>
    <x v="2"/>
    <s v="Queensland"/>
    <s v="Bikes"/>
    <s v="Mountain Bikes"/>
    <s v="Mountain-200 Silver, 38"/>
    <x v="1"/>
    <n v="1266"/>
    <n v="2320"/>
    <n v="1054"/>
    <n v="1266"/>
    <n v="2320"/>
  </r>
  <r>
    <s v="000261706"/>
    <d v="2021-12-05T00:00:00"/>
    <n v="5"/>
    <s v="December"/>
    <n v="2021"/>
    <n v="37"/>
    <x v="0"/>
    <x v="0"/>
    <x v="0"/>
    <s v="California"/>
    <s v="Bikes"/>
    <s v="Mountain Bikes"/>
    <s v="Mountain-200 Black, 46"/>
    <x v="1"/>
    <n v="1252"/>
    <n v="2295"/>
    <n v="1043"/>
    <n v="1252"/>
    <n v="2295"/>
  </r>
  <r>
    <s v="000261707"/>
    <d v="2021-12-06T00:00:00"/>
    <n v="6"/>
    <s v="December"/>
    <n v="2021"/>
    <n v="23"/>
    <x v="2"/>
    <x v="1"/>
    <x v="1"/>
    <s v="England"/>
    <s v="Bikes"/>
    <s v="Mountain Bikes"/>
    <s v="Mountain-400-W Silver, 46"/>
    <x v="3"/>
    <n v="420"/>
    <n v="769"/>
    <n v="1047"/>
    <n v="1260"/>
    <n v="2307"/>
  </r>
  <r>
    <s v="000261708"/>
    <d v="2021-12-06T00:00:00"/>
    <n v="6"/>
    <s v="December"/>
    <n v="2021"/>
    <n v="27"/>
    <x v="1"/>
    <x v="1"/>
    <x v="6"/>
    <s v="British Columbia"/>
    <s v="Bikes"/>
    <s v="Mountain Bikes"/>
    <s v="Mountain-200 Black, 46"/>
    <x v="1"/>
    <n v="1252"/>
    <n v="2295"/>
    <n v="1043"/>
    <n v="1252"/>
    <n v="2295"/>
  </r>
  <r>
    <s v="000261709"/>
    <d v="2021-12-06T00:00:00"/>
    <n v="6"/>
    <s v="December"/>
    <n v="2021"/>
    <n v="36"/>
    <x v="0"/>
    <x v="1"/>
    <x v="2"/>
    <s v="New South Wales"/>
    <s v="Bikes"/>
    <s v="Mountain Bikes"/>
    <s v="Mountain-200 Black, 42"/>
    <x v="1"/>
    <n v="1252"/>
    <n v="2295"/>
    <n v="1043"/>
    <n v="1252"/>
    <n v="2295"/>
  </r>
  <r>
    <s v="000261710"/>
    <d v="2021-12-06T00:00:00"/>
    <n v="6"/>
    <s v="December"/>
    <n v="2021"/>
    <n v="47"/>
    <x v="0"/>
    <x v="1"/>
    <x v="1"/>
    <s v="England"/>
    <s v="Bikes"/>
    <s v="Mountain Bikes"/>
    <s v="Mountain-200 Silver, 38"/>
    <x v="1"/>
    <n v="1266"/>
    <n v="2320"/>
    <n v="1054"/>
    <n v="1266"/>
    <n v="2320"/>
  </r>
  <r>
    <s v="000261711"/>
    <d v="2021-12-07T00:00:00"/>
    <n v="7"/>
    <s v="December"/>
    <n v="2021"/>
    <n v="30"/>
    <x v="1"/>
    <x v="1"/>
    <x v="0"/>
    <s v="California"/>
    <s v="Bikes"/>
    <s v="Mountain Bikes"/>
    <s v="Mountain-400-W Silver, 38"/>
    <x v="0"/>
    <n v="420"/>
    <n v="769"/>
    <n v="1396"/>
    <n v="1680"/>
    <n v="3076"/>
  </r>
  <r>
    <s v="000261712"/>
    <d v="2021-12-07T00:00:00"/>
    <n v="7"/>
    <s v="December"/>
    <n v="2021"/>
    <n v="38"/>
    <x v="0"/>
    <x v="1"/>
    <x v="0"/>
    <s v="California"/>
    <s v="Bikes"/>
    <s v="Mountain Bikes"/>
    <s v="Mountain-200 Silver, 42"/>
    <x v="2"/>
    <n v="1266"/>
    <n v="2320"/>
    <n v="2108"/>
    <n v="2532"/>
    <n v="4640"/>
  </r>
  <r>
    <s v="000261713"/>
    <d v="2021-12-08T00:00:00"/>
    <n v="8"/>
    <s v="December"/>
    <n v="2021"/>
    <n v="19"/>
    <x v="2"/>
    <x v="0"/>
    <x v="2"/>
    <s v="New South Wales"/>
    <s v="Bikes"/>
    <s v="Mountain Bikes"/>
    <s v="Mountain-500 Silver, 42"/>
    <x v="0"/>
    <n v="308"/>
    <n v="565"/>
    <n v="1028"/>
    <n v="1232"/>
    <n v="2260"/>
  </r>
  <r>
    <s v="000261714"/>
    <d v="2021-12-08T00:00:00"/>
    <n v="8"/>
    <s v="December"/>
    <n v="2021"/>
    <n v="30"/>
    <x v="1"/>
    <x v="0"/>
    <x v="6"/>
    <s v="British Columbia"/>
    <s v="Bikes"/>
    <s v="Mountain Bikes"/>
    <s v="Mountain-200 Silver, 38"/>
    <x v="0"/>
    <n v="1266"/>
    <n v="2320"/>
    <n v="4216"/>
    <n v="5064"/>
    <n v="9280"/>
  </r>
  <r>
    <s v="000261715"/>
    <d v="2021-12-08T00:00:00"/>
    <n v="8"/>
    <s v="December"/>
    <n v="2021"/>
    <n v="39"/>
    <x v="0"/>
    <x v="0"/>
    <x v="0"/>
    <s v="Oregon"/>
    <s v="Bikes"/>
    <s v="Mountain Bikes"/>
    <s v="Mountain-500 Black, 42"/>
    <x v="2"/>
    <n v="1252"/>
    <n v="2295"/>
    <n v="2086"/>
    <n v="2504"/>
    <n v="4590"/>
  </r>
  <r>
    <s v="000261716"/>
    <d v="2021-12-08T00:00:00"/>
    <n v="8"/>
    <s v="December"/>
    <n v="2021"/>
    <n v="35"/>
    <x v="0"/>
    <x v="0"/>
    <x v="0"/>
    <s v="California"/>
    <s v="Bikes"/>
    <s v="Mountain Bikes"/>
    <s v="Mountain-500 Black, 42"/>
    <x v="1"/>
    <n v="295"/>
    <n v="540"/>
    <n v="245"/>
    <n v="295"/>
    <n v="540"/>
  </r>
  <r>
    <s v="000261717"/>
    <d v="2021-12-09T00:00:00"/>
    <n v="9"/>
    <s v="December"/>
    <n v="2021"/>
    <n v="33"/>
    <x v="1"/>
    <x v="0"/>
    <x v="2"/>
    <s v="Victoria"/>
    <s v="Bikes"/>
    <s v="Mountain Bikes"/>
    <s v="Mountain-100 Black, 38"/>
    <x v="2"/>
    <n v="1898"/>
    <n v="3375"/>
    <n v="2954"/>
    <n v="3796"/>
    <n v="6750"/>
  </r>
  <r>
    <s v="000261718"/>
    <d v="2021-12-09T00:00:00"/>
    <n v="9"/>
    <s v="December"/>
    <n v="2021"/>
    <n v="41"/>
    <x v="0"/>
    <x v="0"/>
    <x v="5"/>
    <s v="Hamburg"/>
    <s v="Bikes"/>
    <s v="Mountain Bikes"/>
    <s v="Mountain-200 Silver, 42"/>
    <x v="1"/>
    <n v="1266"/>
    <n v="2320"/>
    <n v="1054"/>
    <n v="1266"/>
    <n v="2320"/>
  </r>
  <r>
    <s v="000261719"/>
    <d v="2021-12-10T00:00:00"/>
    <n v="10"/>
    <s v="December"/>
    <n v="2021"/>
    <n v="34"/>
    <x v="1"/>
    <x v="0"/>
    <x v="0"/>
    <s v="California"/>
    <s v="Bikes"/>
    <s v="Mountain Bikes"/>
    <s v="Mountain-200 Black, 42"/>
    <x v="2"/>
    <n v="1252"/>
    <n v="2295"/>
    <n v="2086"/>
    <n v="2504"/>
    <n v="4590"/>
  </r>
  <r>
    <s v="000261720"/>
    <d v="2021-12-10T00:00:00"/>
    <n v="10"/>
    <s v="December"/>
    <n v="2021"/>
    <n v="40"/>
    <x v="0"/>
    <x v="1"/>
    <x v="2"/>
    <s v="New South Wales"/>
    <s v="Bikes"/>
    <s v="Mountain Bikes"/>
    <s v="Mountain-200 Black, 42"/>
    <x v="2"/>
    <n v="1252"/>
    <n v="2295"/>
    <n v="2086"/>
    <n v="2504"/>
    <n v="4590"/>
  </r>
  <r>
    <s v="000261721"/>
    <d v="2021-12-10T00:00:00"/>
    <n v="10"/>
    <s v="December"/>
    <n v="2021"/>
    <n v="26"/>
    <x v="1"/>
    <x v="1"/>
    <x v="1"/>
    <s v="England"/>
    <s v="Bikes"/>
    <s v="Mountain Bikes"/>
    <s v="Mountain-200 Black, 38"/>
    <x v="1"/>
    <n v="1252"/>
    <n v="2295"/>
    <n v="1043"/>
    <n v="1252"/>
    <n v="2295"/>
  </r>
  <r>
    <s v="000261722"/>
    <d v="2021-12-10T00:00:00"/>
    <n v="10"/>
    <s v="December"/>
    <n v="2021"/>
    <n v="34"/>
    <x v="1"/>
    <x v="1"/>
    <x v="0"/>
    <s v="California"/>
    <s v="Bikes"/>
    <s v="Mountain Bikes"/>
    <s v="Mountain-500 Black, 40"/>
    <x v="1"/>
    <n v="295"/>
    <n v="540"/>
    <n v="245"/>
    <n v="295"/>
    <n v="540"/>
  </r>
  <r>
    <s v="000261723"/>
    <d v="2021-12-10T00:00:00"/>
    <n v="10"/>
    <s v="December"/>
    <n v="2021"/>
    <n v="34"/>
    <x v="1"/>
    <x v="0"/>
    <x v="0"/>
    <s v="Washington"/>
    <s v="Bikes"/>
    <s v="Mountain Bikes"/>
    <s v="Mountain-100 Silver, 44"/>
    <x v="1"/>
    <n v="1912"/>
    <n v="3400"/>
    <n v="1488"/>
    <n v="1912"/>
    <n v="3400"/>
  </r>
  <r>
    <s v="000261724"/>
    <d v="2021-12-10T00:00:00"/>
    <n v="10"/>
    <s v="December"/>
    <n v="2021"/>
    <n v="38"/>
    <x v="0"/>
    <x v="1"/>
    <x v="2"/>
    <s v="New South Wales"/>
    <s v="Bikes"/>
    <s v="Mountain Bikes"/>
    <s v="Mountain-200 Black, 38"/>
    <x v="1"/>
    <n v="1252"/>
    <n v="2295"/>
    <n v="1043"/>
    <n v="1252"/>
    <n v="2295"/>
  </r>
  <r>
    <s v="000261725"/>
    <d v="2021-12-11T00:00:00"/>
    <n v="11"/>
    <s v="December"/>
    <n v="2021"/>
    <n v="24"/>
    <x v="2"/>
    <x v="0"/>
    <x v="7"/>
    <s v="Seine (Paris)"/>
    <s v="Bikes"/>
    <s v="Mountain Bikes"/>
    <s v="Mountain-200 Black, 38"/>
    <x v="3"/>
    <n v="1252"/>
    <n v="2295"/>
    <n v="3129"/>
    <n v="3756"/>
    <n v="6885"/>
  </r>
  <r>
    <s v="000261726"/>
    <d v="2021-12-11T00:00:00"/>
    <n v="11"/>
    <s v="December"/>
    <n v="2021"/>
    <n v="41"/>
    <x v="0"/>
    <x v="0"/>
    <x v="2"/>
    <s v="New South Wales"/>
    <s v="Bikes"/>
    <s v="Mountain Bikes"/>
    <s v="Mountain-400-W Silver, 38"/>
    <x v="2"/>
    <n v="420"/>
    <n v="769"/>
    <n v="698"/>
    <n v="840"/>
    <n v="1538"/>
  </r>
  <r>
    <s v="000261727"/>
    <d v="2021-12-11T00:00:00"/>
    <n v="11"/>
    <s v="December"/>
    <n v="2021"/>
    <n v="27"/>
    <x v="1"/>
    <x v="1"/>
    <x v="6"/>
    <s v="British Columbia"/>
    <s v="Bikes"/>
    <s v="Mountain Bikes"/>
    <s v="Mountain-200 Black, 46"/>
    <x v="1"/>
    <n v="1252"/>
    <n v="2295"/>
    <n v="1043"/>
    <n v="1252"/>
    <n v="2295"/>
  </r>
  <r>
    <s v="000261728"/>
    <d v="2021-12-11T00:00:00"/>
    <n v="11"/>
    <s v="December"/>
    <n v="2021"/>
    <n v="37"/>
    <x v="0"/>
    <x v="1"/>
    <x v="0"/>
    <s v="California"/>
    <s v="Bikes"/>
    <s v="Mountain Bikes"/>
    <s v="Mountain-400-W Silver, 46"/>
    <x v="1"/>
    <n v="420"/>
    <n v="769"/>
    <n v="349"/>
    <n v="420"/>
    <n v="769"/>
  </r>
  <r>
    <s v="000261729"/>
    <d v="2021-12-11T00:00:00"/>
    <n v="11"/>
    <s v="December"/>
    <n v="2021"/>
    <n v="38"/>
    <x v="0"/>
    <x v="0"/>
    <x v="0"/>
    <s v="California"/>
    <s v="Bikes"/>
    <s v="Mountain Bikes"/>
    <s v="Mountain-200 Silver, 38"/>
    <x v="1"/>
    <n v="1266"/>
    <n v="2320"/>
    <n v="1054"/>
    <n v="1266"/>
    <n v="2320"/>
  </r>
  <r>
    <s v="000261730"/>
    <d v="2021-12-12T00:00:00"/>
    <n v="12"/>
    <s v="December"/>
    <n v="2021"/>
    <n v="36"/>
    <x v="0"/>
    <x v="0"/>
    <x v="2"/>
    <s v="New South Wales"/>
    <s v="Bikes"/>
    <s v="Mountain Bikes"/>
    <s v="Mountain-200 Silver, 42"/>
    <x v="0"/>
    <n v="1266"/>
    <n v="2320"/>
    <n v="4216"/>
    <n v="5064"/>
    <n v="9280"/>
  </r>
  <r>
    <s v="000261731"/>
    <d v="2021-12-12T00:00:00"/>
    <n v="12"/>
    <s v="December"/>
    <n v="2021"/>
    <n v="37"/>
    <x v="0"/>
    <x v="1"/>
    <x v="0"/>
    <s v="California"/>
    <s v="Bikes"/>
    <s v="Mountain Bikes"/>
    <s v="Mountain-400-W Silver, 46"/>
    <x v="0"/>
    <n v="420"/>
    <n v="769"/>
    <n v="1396"/>
    <n v="1680"/>
    <n v="3076"/>
  </r>
  <r>
    <s v="000261732"/>
    <d v="2021-12-12T00:00:00"/>
    <n v="12"/>
    <s v="December"/>
    <n v="2021"/>
    <n v="34"/>
    <x v="1"/>
    <x v="1"/>
    <x v="2"/>
    <s v="New South Wales"/>
    <s v="Bikes"/>
    <s v="Mountain Bikes"/>
    <s v="Mountain-200 Black, 38"/>
    <x v="2"/>
    <n v="1252"/>
    <n v="2295"/>
    <n v="2086"/>
    <n v="2504"/>
    <n v="4590"/>
  </r>
  <r>
    <s v="000261733"/>
    <d v="2021-12-12T00:00:00"/>
    <n v="12"/>
    <s v="December"/>
    <n v="2021"/>
    <n v="35"/>
    <x v="0"/>
    <x v="0"/>
    <x v="2"/>
    <s v="Victoria"/>
    <s v="Bikes"/>
    <s v="Mountain Bikes"/>
    <s v="Mountain-200 Silver, 42"/>
    <x v="1"/>
    <n v="1266"/>
    <n v="2320"/>
    <n v="1054"/>
    <n v="1266"/>
    <n v="2320"/>
  </r>
  <r>
    <s v="000261734"/>
    <d v="2021-12-12T00:00:00"/>
    <n v="12"/>
    <s v="December"/>
    <n v="2021"/>
    <n v="38"/>
    <x v="0"/>
    <x v="0"/>
    <x v="0"/>
    <s v="Washington"/>
    <s v="Bikes"/>
    <s v="Mountain Bikes"/>
    <s v="Mountain-200 Silver, 42"/>
    <x v="1"/>
    <n v="1266"/>
    <n v="2320"/>
    <n v="1054"/>
    <n v="1266"/>
    <n v="2320"/>
  </r>
  <r>
    <s v="000261735"/>
    <d v="2021-12-13T00:00:00"/>
    <n v="13"/>
    <s v="December"/>
    <n v="2021"/>
    <n v="32"/>
    <x v="1"/>
    <x v="0"/>
    <x v="2"/>
    <s v="Queensland"/>
    <s v="Bikes"/>
    <s v="Mountain Bikes"/>
    <s v="Mountain-200 Silver, 42"/>
    <x v="3"/>
    <n v="1266"/>
    <n v="2320"/>
    <n v="3162"/>
    <n v="3798"/>
    <n v="6960"/>
  </r>
  <r>
    <s v="000261736"/>
    <d v="2021-12-13T00:00:00"/>
    <n v="13"/>
    <s v="December"/>
    <n v="2021"/>
    <n v="40"/>
    <x v="0"/>
    <x v="0"/>
    <x v="0"/>
    <s v="California"/>
    <s v="Bikes"/>
    <s v="Mountain Bikes"/>
    <s v="Mountain-500 Silver, 40"/>
    <x v="1"/>
    <n v="308"/>
    <n v="565"/>
    <n v="257"/>
    <n v="308"/>
    <n v="565"/>
  </r>
  <r>
    <s v="000261737"/>
    <d v="2021-12-13T00:00:00"/>
    <n v="13"/>
    <s v="December"/>
    <n v="2021"/>
    <n v="44"/>
    <x v="0"/>
    <x v="0"/>
    <x v="1"/>
    <s v="England"/>
    <s v="Bikes"/>
    <s v="Mountain Bikes"/>
    <s v="Mountain-200 Black, 38"/>
    <x v="1"/>
    <n v="1252"/>
    <n v="2295"/>
    <n v="1043"/>
    <n v="1252"/>
    <n v="2295"/>
  </r>
  <r>
    <s v="000261738"/>
    <d v="2021-12-13T00:00:00"/>
    <n v="13"/>
    <s v="December"/>
    <n v="2021"/>
    <n v="49"/>
    <x v="0"/>
    <x v="1"/>
    <x v="1"/>
    <s v="England"/>
    <s v="Bikes"/>
    <s v="Mountain Bikes"/>
    <s v="Mountain-200 Black, 38"/>
    <x v="1"/>
    <n v="1252"/>
    <n v="2295"/>
    <n v="1043"/>
    <n v="1252"/>
    <n v="2295"/>
  </r>
  <r>
    <s v="000261739"/>
    <d v="2021-12-14T00:00:00"/>
    <n v="14"/>
    <s v="December"/>
    <n v="2021"/>
    <n v="30"/>
    <x v="1"/>
    <x v="0"/>
    <x v="0"/>
    <s v="Washington"/>
    <s v="Bikes"/>
    <s v="Mountain Bikes"/>
    <s v="Mountain-200 Silver, 38"/>
    <x v="2"/>
    <n v="1266"/>
    <n v="2320"/>
    <n v="2108"/>
    <n v="2532"/>
    <n v="4640"/>
  </r>
  <r>
    <s v="000261740"/>
    <d v="2021-12-14T00:00:00"/>
    <n v="14"/>
    <s v="December"/>
    <n v="2021"/>
    <n v="32"/>
    <x v="1"/>
    <x v="1"/>
    <x v="0"/>
    <s v="California"/>
    <s v="Bikes"/>
    <s v="Mountain Bikes"/>
    <s v="Mountain-200 Black, 46"/>
    <x v="1"/>
    <n v="1252"/>
    <n v="2295"/>
    <n v="1043"/>
    <n v="1252"/>
    <n v="2295"/>
  </r>
  <r>
    <s v="000261741"/>
    <d v="2021-12-14T00:00:00"/>
    <n v="14"/>
    <s v="December"/>
    <n v="2021"/>
    <n v="32"/>
    <x v="1"/>
    <x v="0"/>
    <x v="2"/>
    <s v="Victoria"/>
    <s v="Bikes"/>
    <s v="Mountain Bikes"/>
    <s v="Mountain-400-W Silver, 46"/>
    <x v="1"/>
    <n v="420"/>
    <n v="769"/>
    <n v="349"/>
    <n v="420"/>
    <n v="769"/>
  </r>
  <r>
    <s v="000261742"/>
    <d v="2021-12-15T00:00:00"/>
    <n v="15"/>
    <s v="December"/>
    <n v="2021"/>
    <n v="29"/>
    <x v="1"/>
    <x v="0"/>
    <x v="0"/>
    <s v="California"/>
    <s v="Bikes"/>
    <s v="Mountain Bikes"/>
    <s v="Mountain-200 Silver, 42"/>
    <x v="1"/>
    <n v="1266"/>
    <n v="2320"/>
    <n v="1054"/>
    <n v="1266"/>
    <n v="2320"/>
  </r>
  <r>
    <s v="000261743"/>
    <d v="2021-12-16T00:00:00"/>
    <n v="16"/>
    <s v="December"/>
    <n v="2021"/>
    <n v="33"/>
    <x v="1"/>
    <x v="0"/>
    <x v="2"/>
    <s v="New South Wales"/>
    <s v="Bikes"/>
    <s v="Mountain Bikes"/>
    <s v="Mountain-200 Black, 38"/>
    <x v="2"/>
    <n v="1252"/>
    <n v="2295"/>
    <n v="2086"/>
    <n v="2504"/>
    <n v="4590"/>
  </r>
  <r>
    <s v="000261744"/>
    <d v="2021-12-16T00:00:00"/>
    <n v="16"/>
    <s v="December"/>
    <n v="2021"/>
    <n v="38"/>
    <x v="0"/>
    <x v="1"/>
    <x v="2"/>
    <s v="New South Wales"/>
    <s v="Bikes"/>
    <s v="Mountain Bikes"/>
    <s v="Mountain-200 Black, 38"/>
    <x v="2"/>
    <n v="1252"/>
    <n v="2295"/>
    <n v="2086"/>
    <n v="2504"/>
    <n v="4590"/>
  </r>
  <r>
    <s v="000261745"/>
    <d v="2021-12-16T00:00:00"/>
    <n v="16"/>
    <s v="December"/>
    <n v="2021"/>
    <n v="27"/>
    <x v="1"/>
    <x v="0"/>
    <x v="7"/>
    <s v="Seine et Marne"/>
    <s v="Bikes"/>
    <s v="Mountain Bikes"/>
    <s v="Mountain-200 Silver, 46"/>
    <x v="1"/>
    <n v="1266"/>
    <n v="2320"/>
    <n v="1054"/>
    <n v="1266"/>
    <n v="2320"/>
  </r>
  <r>
    <s v="000261746"/>
    <d v="2021-12-17T00:00:00"/>
    <n v="17"/>
    <s v="December"/>
    <n v="2021"/>
    <n v="37"/>
    <x v="0"/>
    <x v="0"/>
    <x v="0"/>
    <s v="Washington"/>
    <s v="Bikes"/>
    <s v="Mountain Bikes"/>
    <s v="Mountain-200 Silver, 38"/>
    <x v="2"/>
    <n v="1266"/>
    <n v="2320"/>
    <n v="2108"/>
    <n v="2532"/>
    <n v="4640"/>
  </r>
  <r>
    <s v="000261747"/>
    <d v="2021-12-17T00:00:00"/>
    <n v="17"/>
    <s v="December"/>
    <n v="2021"/>
    <n v="31"/>
    <x v="1"/>
    <x v="1"/>
    <x v="2"/>
    <s v="New South Wales"/>
    <s v="Bikes"/>
    <s v="Mountain Bikes"/>
    <s v="Mountain-400-W Silver, 42"/>
    <x v="1"/>
    <n v="420"/>
    <n v="769"/>
    <n v="349"/>
    <n v="420"/>
    <n v="769"/>
  </r>
  <r>
    <s v="000261748"/>
    <d v="2021-12-17T00:00:00"/>
    <n v="17"/>
    <s v="December"/>
    <n v="2021"/>
    <n v="42"/>
    <x v="0"/>
    <x v="0"/>
    <x v="5"/>
    <s v="Nordrhein-Westfalen"/>
    <s v="Bikes"/>
    <s v="Mountain Bikes"/>
    <s v="Mountain-200 Silver, 46"/>
    <x v="1"/>
    <n v="1266"/>
    <n v="2320"/>
    <n v="1054"/>
    <n v="1266"/>
    <n v="2320"/>
  </r>
  <r>
    <s v="000261749"/>
    <d v="2021-12-18T00:00:00"/>
    <n v="18"/>
    <s v="December"/>
    <n v="2021"/>
    <n v="35"/>
    <x v="0"/>
    <x v="0"/>
    <x v="2"/>
    <s v="New South Wales"/>
    <s v="Bikes"/>
    <s v="Mountain Bikes"/>
    <s v="Mountain-500 Silver, 42"/>
    <x v="0"/>
    <n v="308"/>
    <n v="565"/>
    <n v="1028"/>
    <n v="1232"/>
    <n v="2260"/>
  </r>
  <r>
    <s v="000261750"/>
    <d v="2021-12-18T00:00:00"/>
    <n v="18"/>
    <s v="December"/>
    <n v="2021"/>
    <n v="38"/>
    <x v="0"/>
    <x v="0"/>
    <x v="5"/>
    <s v="Nordrhein-Westfalen"/>
    <s v="Bikes"/>
    <s v="Mountain Bikes"/>
    <s v="Mountain-200 Silver, 46"/>
    <x v="0"/>
    <n v="1266"/>
    <n v="2320"/>
    <n v="4216"/>
    <n v="5064"/>
    <n v="9280"/>
  </r>
  <r>
    <s v="000261751"/>
    <d v="2021-12-18T00:00:00"/>
    <n v="18"/>
    <s v="December"/>
    <n v="2021"/>
    <n v="24"/>
    <x v="2"/>
    <x v="0"/>
    <x v="7"/>
    <s v="Seine Saint Denis"/>
    <s v="Bikes"/>
    <s v="Mountain Bikes"/>
    <s v="Mountain-200 Silver, 38"/>
    <x v="3"/>
    <n v="1266"/>
    <n v="2320"/>
    <n v="3162"/>
    <n v="3798"/>
    <n v="6960"/>
  </r>
  <r>
    <s v="000261752"/>
    <d v="2021-12-18T00:00:00"/>
    <n v="18"/>
    <s v="December"/>
    <n v="2021"/>
    <n v="26"/>
    <x v="1"/>
    <x v="0"/>
    <x v="1"/>
    <s v="England"/>
    <s v="Bikes"/>
    <s v="Mountain Bikes"/>
    <s v="Mountain-400-W Silver, 42"/>
    <x v="3"/>
    <n v="420"/>
    <n v="769"/>
    <n v="1047"/>
    <n v="1260"/>
    <n v="2307"/>
  </r>
  <r>
    <s v="000261753"/>
    <d v="2021-12-18T00:00:00"/>
    <n v="18"/>
    <s v="December"/>
    <n v="2021"/>
    <n v="39"/>
    <x v="0"/>
    <x v="1"/>
    <x v="0"/>
    <s v="California"/>
    <s v="Bikes"/>
    <s v="Mountain Bikes"/>
    <s v="Mountain-200 Black, 42"/>
    <x v="3"/>
    <n v="1252"/>
    <n v="2295"/>
    <n v="3129"/>
    <n v="3756"/>
    <n v="6885"/>
  </r>
  <r>
    <s v="000261754"/>
    <d v="2021-12-18T00:00:00"/>
    <n v="18"/>
    <s v="December"/>
    <n v="2021"/>
    <n v="26"/>
    <x v="1"/>
    <x v="1"/>
    <x v="7"/>
    <s v="Seine (Paris)"/>
    <s v="Bikes"/>
    <s v="Mountain Bikes"/>
    <s v="Mountain-200 Black, 46"/>
    <x v="1"/>
    <n v="1252"/>
    <n v="2295"/>
    <n v="1043"/>
    <n v="1252"/>
    <n v="2295"/>
  </r>
  <r>
    <s v="000261755"/>
    <d v="2021-12-18T00:00:00"/>
    <n v="18"/>
    <s v="December"/>
    <n v="2021"/>
    <n v="36"/>
    <x v="0"/>
    <x v="1"/>
    <x v="0"/>
    <s v="Washington"/>
    <s v="Bikes"/>
    <s v="Mountain Bikes"/>
    <s v="Mountain-200 Silver, 38"/>
    <x v="1"/>
    <n v="1266"/>
    <n v="2320"/>
    <n v="1054"/>
    <n v="1266"/>
    <n v="2320"/>
  </r>
  <r>
    <s v="000261756"/>
    <d v="2021-12-19T00:00:00"/>
    <n v="19"/>
    <s v="December"/>
    <n v="2021"/>
    <n v="17"/>
    <x v="2"/>
    <x v="1"/>
    <x v="7"/>
    <s v="Nord"/>
    <s v="Bikes"/>
    <s v="Mountain Bikes"/>
    <s v="Mountain-200 Silver, 46"/>
    <x v="0"/>
    <n v="1266"/>
    <n v="2320"/>
    <n v="4216"/>
    <n v="5064"/>
    <n v="9280"/>
  </r>
  <r>
    <s v="000261757"/>
    <d v="2021-12-19T00:00:00"/>
    <n v="19"/>
    <s v="December"/>
    <n v="2021"/>
    <n v="19"/>
    <x v="2"/>
    <x v="0"/>
    <x v="2"/>
    <s v="Victoria"/>
    <s v="Bikes"/>
    <s v="Mountain Bikes"/>
    <s v="Mountain-500 Black, 44"/>
    <x v="0"/>
    <n v="295"/>
    <n v="540"/>
    <n v="980"/>
    <n v="1180"/>
    <n v="2160"/>
  </r>
  <r>
    <s v="000261758"/>
    <d v="2021-12-19T00:00:00"/>
    <n v="19"/>
    <s v="December"/>
    <n v="2021"/>
    <n v="25"/>
    <x v="1"/>
    <x v="1"/>
    <x v="7"/>
    <s v="Seine (Paris)"/>
    <s v="Bikes"/>
    <s v="Mountain Bikes"/>
    <s v="Mountain-200 Black, 38"/>
    <x v="0"/>
    <n v="1252"/>
    <n v="2295"/>
    <n v="4172"/>
    <n v="5008"/>
    <n v="9180"/>
  </r>
  <r>
    <s v="000261759"/>
    <d v="2021-12-19T00:00:00"/>
    <n v="19"/>
    <s v="December"/>
    <n v="2021"/>
    <n v="35"/>
    <x v="0"/>
    <x v="0"/>
    <x v="0"/>
    <s v="Oregon"/>
    <s v="Bikes"/>
    <s v="Mountain Bikes"/>
    <s v="Mountain-100 Black, 48"/>
    <x v="0"/>
    <n v="1898"/>
    <n v="3375"/>
    <n v="5908"/>
    <n v="7592"/>
    <n v="13500"/>
  </r>
  <r>
    <s v="000261760"/>
    <d v="2021-12-19T00:00:00"/>
    <n v="19"/>
    <s v="December"/>
    <n v="2021"/>
    <n v="37"/>
    <x v="0"/>
    <x v="1"/>
    <x v="0"/>
    <s v="Oregon"/>
    <s v="Bikes"/>
    <s v="Mountain Bikes"/>
    <s v="Mountain-200 Black, 38"/>
    <x v="0"/>
    <n v="1252"/>
    <n v="2295"/>
    <n v="4172"/>
    <n v="5008"/>
    <n v="9180"/>
  </r>
  <r>
    <s v="000261761"/>
    <d v="2021-12-19T00:00:00"/>
    <n v="19"/>
    <s v="December"/>
    <n v="2021"/>
    <n v="39"/>
    <x v="0"/>
    <x v="0"/>
    <x v="0"/>
    <s v="California"/>
    <s v="Bikes"/>
    <s v="Mountain Bikes"/>
    <s v="Mountain-200 Black, 46"/>
    <x v="0"/>
    <n v="1252"/>
    <n v="2295"/>
    <n v="4172"/>
    <n v="5008"/>
    <n v="9180"/>
  </r>
  <r>
    <s v="000261762"/>
    <d v="2021-12-19T00:00:00"/>
    <n v="19"/>
    <s v="December"/>
    <n v="2021"/>
    <n v="63"/>
    <x v="0"/>
    <x v="0"/>
    <x v="2"/>
    <s v="Queensland"/>
    <s v="Bikes"/>
    <s v="Mountain Bikes"/>
    <s v="Mountain-200 Black, 46"/>
    <x v="0"/>
    <n v="1252"/>
    <n v="2295"/>
    <n v="4172"/>
    <n v="5008"/>
    <n v="9180"/>
  </r>
  <r>
    <s v="000261763"/>
    <d v="2021-12-19T00:00:00"/>
    <n v="19"/>
    <s v="December"/>
    <n v="2021"/>
    <n v="18"/>
    <x v="2"/>
    <x v="1"/>
    <x v="2"/>
    <s v="South Australia"/>
    <s v="Bikes"/>
    <s v="Mountain Bikes"/>
    <s v="Mountain-500 Black, 40"/>
    <x v="2"/>
    <n v="295"/>
    <n v="540"/>
    <n v="490"/>
    <n v="590"/>
    <n v="1080"/>
  </r>
  <r>
    <s v="000261764"/>
    <d v="2021-12-19T00:00:00"/>
    <n v="19"/>
    <s v="December"/>
    <n v="2021"/>
    <n v="56"/>
    <x v="0"/>
    <x v="0"/>
    <x v="5"/>
    <s v="Hessen"/>
    <s v="Bikes"/>
    <s v="Mountain Bikes"/>
    <s v="Mountain-200 Black, 46"/>
    <x v="2"/>
    <n v="1252"/>
    <n v="2295"/>
    <n v="2086"/>
    <n v="2504"/>
    <n v="4590"/>
  </r>
  <r>
    <s v="000261765"/>
    <d v="2021-12-19T00:00:00"/>
    <n v="19"/>
    <s v="December"/>
    <n v="2021"/>
    <n v="39"/>
    <x v="0"/>
    <x v="0"/>
    <x v="0"/>
    <s v="Washington"/>
    <s v="Bikes"/>
    <s v="Mountain Bikes"/>
    <s v="Mountain-200 Silver, 38"/>
    <x v="1"/>
    <n v="1266"/>
    <n v="2320"/>
    <n v="1054"/>
    <n v="1266"/>
    <n v="2320"/>
  </r>
  <r>
    <s v="000261766"/>
    <d v="2021-12-20T00:00:00"/>
    <n v="20"/>
    <s v="December"/>
    <n v="2021"/>
    <n v="33"/>
    <x v="1"/>
    <x v="0"/>
    <x v="2"/>
    <s v="Victoria"/>
    <s v="Bikes"/>
    <s v="Mountain Bikes"/>
    <s v="Mountain-100 Black, 38"/>
    <x v="0"/>
    <n v="1898"/>
    <n v="3375"/>
    <n v="5908"/>
    <n v="7592"/>
    <n v="13500"/>
  </r>
  <r>
    <s v="000261767"/>
    <d v="2021-12-20T00:00:00"/>
    <n v="20"/>
    <s v="December"/>
    <n v="2021"/>
    <n v="57"/>
    <x v="0"/>
    <x v="1"/>
    <x v="2"/>
    <s v="Queensland"/>
    <s v="Bikes"/>
    <s v="Mountain Bikes"/>
    <s v="Mountain-200 Black, 46"/>
    <x v="0"/>
    <n v="1252"/>
    <n v="2295"/>
    <n v="4172"/>
    <n v="5008"/>
    <n v="9180"/>
  </r>
  <r>
    <s v="000261768"/>
    <d v="2021-12-20T00:00:00"/>
    <n v="20"/>
    <s v="December"/>
    <n v="2021"/>
    <n v="29"/>
    <x v="1"/>
    <x v="1"/>
    <x v="6"/>
    <s v="British Columbia"/>
    <s v="Bikes"/>
    <s v="Mountain Bikes"/>
    <s v="Mountain-500 Black, 52"/>
    <x v="3"/>
    <n v="295"/>
    <n v="540"/>
    <n v="735"/>
    <n v="885"/>
    <n v="1620"/>
  </r>
  <r>
    <s v="000261769"/>
    <d v="2021-12-20T00:00:00"/>
    <n v="20"/>
    <s v="December"/>
    <n v="2021"/>
    <n v="35"/>
    <x v="0"/>
    <x v="0"/>
    <x v="2"/>
    <s v="Queensland"/>
    <s v="Bikes"/>
    <s v="Mountain Bikes"/>
    <s v="Mountain-200 Silver, 38"/>
    <x v="1"/>
    <n v="1266"/>
    <n v="2320"/>
    <n v="1054"/>
    <n v="1266"/>
    <n v="2320"/>
  </r>
  <r>
    <s v="000261770"/>
    <d v="2021-12-20T00:00:00"/>
    <n v="20"/>
    <s v="December"/>
    <n v="2021"/>
    <n v="35"/>
    <x v="0"/>
    <x v="1"/>
    <x v="2"/>
    <s v="Victoria"/>
    <s v="Bikes"/>
    <s v="Mountain Bikes"/>
    <s v="Mountain-200 Silver, 38"/>
    <x v="1"/>
    <n v="1266"/>
    <n v="2320"/>
    <n v="1054"/>
    <n v="1266"/>
    <n v="2320"/>
  </r>
  <r>
    <s v="000261771"/>
    <d v="2021-12-21T00:00:00"/>
    <n v="21"/>
    <s v="December"/>
    <n v="2021"/>
    <n v="26"/>
    <x v="1"/>
    <x v="1"/>
    <x v="7"/>
    <s v="Somme"/>
    <s v="Bikes"/>
    <s v="Mountain Bikes"/>
    <s v="Mountain-200 Silver, 38"/>
    <x v="3"/>
    <n v="1266"/>
    <n v="2320"/>
    <n v="3162"/>
    <n v="3798"/>
    <n v="6960"/>
  </r>
  <r>
    <s v="000261772"/>
    <d v="2021-12-21T00:00:00"/>
    <n v="21"/>
    <s v="December"/>
    <n v="2021"/>
    <n v="23"/>
    <x v="2"/>
    <x v="1"/>
    <x v="1"/>
    <s v="England"/>
    <s v="Bikes"/>
    <s v="Mountain Bikes"/>
    <s v="Mountain-400-W Silver, 46"/>
    <x v="2"/>
    <n v="420"/>
    <n v="769"/>
    <n v="698"/>
    <n v="840"/>
    <n v="1538"/>
  </r>
  <r>
    <s v="000261773"/>
    <d v="2021-12-22T00:00:00"/>
    <n v="22"/>
    <s v="December"/>
    <n v="2021"/>
    <n v="30"/>
    <x v="1"/>
    <x v="0"/>
    <x v="0"/>
    <s v="Washington"/>
    <s v="Bikes"/>
    <s v="Mountain Bikes"/>
    <s v="Mountain-200 Silver, 38"/>
    <x v="3"/>
    <n v="1266"/>
    <n v="2320"/>
    <n v="3162"/>
    <n v="3798"/>
    <n v="6960"/>
  </r>
  <r>
    <s v="000261774"/>
    <d v="2021-12-22T00:00:00"/>
    <n v="22"/>
    <s v="December"/>
    <n v="2021"/>
    <n v="41"/>
    <x v="0"/>
    <x v="1"/>
    <x v="0"/>
    <s v="California"/>
    <s v="Bikes"/>
    <s v="Mountain Bikes"/>
    <s v="Mountain-200 Black, 42"/>
    <x v="3"/>
    <n v="1252"/>
    <n v="2295"/>
    <n v="3129"/>
    <n v="3756"/>
    <n v="6885"/>
  </r>
  <r>
    <s v="000261775"/>
    <d v="2021-12-22T00:00:00"/>
    <n v="22"/>
    <s v="December"/>
    <n v="2021"/>
    <n v="19"/>
    <x v="2"/>
    <x v="0"/>
    <x v="2"/>
    <s v="New South Wales"/>
    <s v="Bikes"/>
    <s v="Mountain Bikes"/>
    <s v="Mountain-500 Silver, 42"/>
    <x v="1"/>
    <n v="308"/>
    <n v="565"/>
    <n v="257"/>
    <n v="308"/>
    <n v="565"/>
  </r>
  <r>
    <s v="000261776"/>
    <d v="2021-12-22T00:00:00"/>
    <n v="22"/>
    <s v="December"/>
    <n v="2021"/>
    <n v="25"/>
    <x v="1"/>
    <x v="1"/>
    <x v="7"/>
    <s v="Seine (Paris)"/>
    <s v="Bikes"/>
    <s v="Mountain Bikes"/>
    <s v="Mountain-200 Black, 38"/>
    <x v="1"/>
    <n v="1252"/>
    <n v="2295"/>
    <n v="1043"/>
    <n v="1252"/>
    <n v="2295"/>
  </r>
  <r>
    <s v="000261777"/>
    <d v="2021-12-22T00:00:00"/>
    <n v="22"/>
    <s v="December"/>
    <n v="2021"/>
    <n v="27"/>
    <x v="1"/>
    <x v="0"/>
    <x v="6"/>
    <s v="British Columbia"/>
    <s v="Bikes"/>
    <s v="Mountain Bikes"/>
    <s v="Mountain-200 Black, 46"/>
    <x v="1"/>
    <n v="1252"/>
    <n v="2295"/>
    <n v="1043"/>
    <n v="1252"/>
    <n v="2295"/>
  </r>
  <r>
    <s v="000261778"/>
    <d v="2021-12-22T00:00:00"/>
    <n v="22"/>
    <s v="December"/>
    <n v="2021"/>
    <n v="41"/>
    <x v="0"/>
    <x v="1"/>
    <x v="5"/>
    <s v="Hessen"/>
    <s v="Bikes"/>
    <s v="Mountain Bikes"/>
    <s v="Mountain-200 Silver, 38"/>
    <x v="1"/>
    <n v="1266"/>
    <n v="2320"/>
    <n v="1054"/>
    <n v="1266"/>
    <n v="2320"/>
  </r>
  <r>
    <s v="000261779"/>
    <d v="2021-12-23T00:00:00"/>
    <n v="23"/>
    <s v="December"/>
    <n v="2021"/>
    <n v="30"/>
    <x v="1"/>
    <x v="0"/>
    <x v="0"/>
    <s v="Oregon"/>
    <s v="Bikes"/>
    <s v="Mountain Bikes"/>
    <s v="Mountain-200 Silver, 42"/>
    <x v="1"/>
    <n v="1266"/>
    <n v="2320"/>
    <n v="1054"/>
    <n v="1266"/>
    <n v="2320"/>
  </r>
  <r>
    <s v="000261780"/>
    <d v="2021-12-23T00:00:00"/>
    <n v="23"/>
    <s v="December"/>
    <n v="2021"/>
    <n v="31"/>
    <x v="1"/>
    <x v="0"/>
    <x v="6"/>
    <s v="British Columbia"/>
    <s v="Bikes"/>
    <s v="Mountain Bikes"/>
    <s v="Mountain-200 Black, 42"/>
    <x v="1"/>
    <n v="1252"/>
    <n v="2295"/>
    <n v="1043"/>
    <n v="1252"/>
    <n v="2295"/>
  </r>
  <r>
    <s v="000261781"/>
    <d v="2021-12-23T00:00:00"/>
    <n v="23"/>
    <s v="December"/>
    <n v="2021"/>
    <n v="35"/>
    <x v="0"/>
    <x v="0"/>
    <x v="0"/>
    <s v="California"/>
    <s v="Bikes"/>
    <s v="Mountain Bikes"/>
    <s v="Mountain-500 Black, 42"/>
    <x v="1"/>
    <n v="295"/>
    <n v="540"/>
    <n v="245"/>
    <n v="295"/>
    <n v="540"/>
  </r>
  <r>
    <s v="000261782"/>
    <d v="2021-12-24T00:00:00"/>
    <n v="24"/>
    <s v="December"/>
    <n v="2021"/>
    <n v="38"/>
    <x v="0"/>
    <x v="1"/>
    <x v="2"/>
    <s v="Queensland"/>
    <s v="Bikes"/>
    <s v="Mountain Bikes"/>
    <s v="Mountain-200 Black, 42"/>
    <x v="0"/>
    <n v="1252"/>
    <n v="2295"/>
    <n v="4172"/>
    <n v="5008"/>
    <n v="918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1" cacheId="1404" applyNumberFormats="0" applyBorderFormats="0" applyFontFormats="0" applyPatternFormats="0" applyAlignmentFormats="0" applyWidthHeightFormats="1" dataCaption="Values" missingCaption="0" updatedVersion="6" minRefreshableVersion="3" useAutoFormatting="1" colGrandTotals="0" itemPrintTitles="1" createdVersion="6" indent="0" outline="1" outlineData="1" multipleFieldFilters="0" chartFormat="1" colHeaderCaption="Country">
  <location ref="A3:I10" firstHeaderRow="1" firstDataRow="2" firstDataCol="1"/>
  <pivotFields count="19">
    <pivotField showAll="0"/>
    <pivotField numFmtId="14" showAll="0"/>
    <pivotField showAll="0"/>
    <pivotField showAll="0"/>
    <pivotField showAll="0"/>
    <pivotField showAll="0"/>
    <pivotField axis="axisRow" showAll="0" sortType="descending">
      <items count="4">
        <item sd="0" x="2"/>
        <item sd="0" x="1"/>
        <item x="0"/>
        <item t="default"/>
      </items>
    </pivotField>
    <pivotField axis="axisRow" showAll="0">
      <items count="3">
        <item x="0"/>
        <item x="1"/>
        <item t="default"/>
      </items>
    </pivotField>
    <pivotField axis="axisCol" showAll="0">
      <items count="9">
        <item x="2"/>
        <item x="6"/>
        <item x="7"/>
        <item x="5"/>
        <item x="3"/>
        <item x="1"/>
        <item x="0"/>
        <item x="4"/>
        <item t="default"/>
      </items>
    </pivotField>
    <pivotField showAll="0"/>
    <pivotField showAll="0"/>
    <pivotField showAll="0"/>
    <pivotField showAll="0"/>
    <pivotField dataField="1" showAll="0">
      <items count="5">
        <item x="1"/>
        <item x="2"/>
        <item x="3"/>
        <item x="0"/>
        <item t="default"/>
      </items>
    </pivotField>
    <pivotField numFmtId="164" showAll="0"/>
    <pivotField numFmtId="164" showAll="0"/>
    <pivotField numFmtId="164" showAll="0"/>
    <pivotField numFmtId="164" showAll="0"/>
    <pivotField numFmtId="164" showAll="0"/>
  </pivotFields>
  <rowFields count="2">
    <field x="6"/>
    <field x="7"/>
  </rowFields>
  <rowItems count="6">
    <i>
      <x/>
    </i>
    <i>
      <x v="1"/>
    </i>
    <i>
      <x v="2"/>
    </i>
    <i r="1">
      <x/>
    </i>
    <i r="1">
      <x v="1"/>
    </i>
    <i t="grand">
      <x/>
    </i>
  </rowItems>
  <colFields count="1">
    <field x="8"/>
  </colFields>
  <colItems count="8">
    <i>
      <x/>
    </i>
    <i>
      <x v="1"/>
    </i>
    <i>
      <x v="2"/>
    </i>
    <i>
      <x v="3"/>
    </i>
    <i>
      <x v="4"/>
    </i>
    <i>
      <x v="5"/>
    </i>
    <i>
      <x v="6"/>
    </i>
    <i>
      <x v="7"/>
    </i>
  </colItems>
  <dataFields count="1">
    <dataField name="Sum of Order_Quantity" fld="13" baseField="0" baseItem="0"/>
  </dataFields>
  <formats count="3">
    <format dxfId="1">
      <pivotArea type="all" dataOnly="0" outline="0" fieldPosition="0"/>
    </format>
    <format dxfId="2">
      <pivotArea dataOnly="0" outline="0" fieldPosition="0">
        <references count="1">
          <reference field="8" count="0"/>
        </references>
      </pivotArea>
    </format>
    <format dxfId="3">
      <pivotArea field="8" type="button" dataOnly="0" labelOnly="1" outline="0" axis="axisCol" fieldPosition="0"/>
    </format>
  </formats>
  <chartFormats count="8">
    <chartFormat chart="0" format="8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0" format="9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0" format="10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2"/>
          </reference>
        </references>
      </pivotArea>
    </chartFormat>
    <chartFormat chart="0" format="11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3"/>
          </reference>
        </references>
      </pivotArea>
    </chartFormat>
    <chartFormat chart="0" format="12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4"/>
          </reference>
        </references>
      </pivotArea>
    </chartFormat>
    <chartFormat chart="0" format="13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5"/>
          </reference>
        </references>
      </pivotArea>
    </chartFormat>
    <chartFormat chart="0" format="14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6"/>
          </reference>
        </references>
      </pivotArea>
    </chartFormat>
    <chartFormat chart="0" format="15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7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14" cacheId="1404" applyNumberFormats="0" applyBorderFormats="0" applyFontFormats="0" applyPatternFormats="0" applyAlignmentFormats="0" applyWidthHeightFormats="1" dataCaption="Values" missingCaption="0" updatedVersion="6" minRefreshableVersion="3" useAutoFormatting="1" colGrandTotals="0" itemPrintTitles="1" createdVersion="6" indent="0" outline="1" outlineData="1" multipleFieldFilters="0" chartFormat="1">
  <location ref="A3:I13" firstHeaderRow="1" firstDataRow="2" firstDataCol="1"/>
  <pivotFields count="19">
    <pivotField showAll="0"/>
    <pivotField numFmtId="14" showAll="0"/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axis="axisRow" showAll="0">
      <items count="3">
        <item x="0"/>
        <item x="1"/>
        <item t="default"/>
      </items>
    </pivotField>
    <pivotField axis="axisCol" showAll="0">
      <items count="9">
        <item x="2"/>
        <item x="6"/>
        <item x="7"/>
        <item x="5"/>
        <item x="3"/>
        <item x="1"/>
        <item x="0"/>
        <item x="4"/>
        <item t="default"/>
      </items>
    </pivotField>
    <pivotField showAll="0"/>
    <pivotField showAll="0"/>
    <pivotField showAll="0"/>
    <pivotField showAll="0"/>
    <pivotField showAll="0"/>
    <pivotField numFmtId="164" showAll="0"/>
    <pivotField numFmtId="164" showAll="0"/>
    <pivotField dataField="1" numFmtId="164" showAll="0"/>
    <pivotField numFmtId="164" showAll="0"/>
    <pivotField numFmtId="164" showAll="0"/>
  </pivotFields>
  <rowFields count="2">
    <field x="7"/>
    <field x="6"/>
  </rowFields>
  <rowItems count="9">
    <i>
      <x/>
    </i>
    <i r="1">
      <x/>
    </i>
    <i r="1">
      <x v="1"/>
    </i>
    <i r="1">
      <x v="2"/>
    </i>
    <i>
      <x v="1"/>
    </i>
    <i r="1">
      <x/>
    </i>
    <i r="1">
      <x v="1"/>
    </i>
    <i r="1">
      <x v="2"/>
    </i>
    <i t="grand">
      <x/>
    </i>
  </rowItems>
  <colFields count="1">
    <field x="8"/>
  </colFields>
  <colItems count="8">
    <i>
      <x/>
    </i>
    <i>
      <x v="1"/>
    </i>
    <i>
      <x v="2"/>
    </i>
    <i>
      <x v="3"/>
    </i>
    <i>
      <x v="4"/>
    </i>
    <i>
      <x v="5"/>
    </i>
    <i>
      <x v="6"/>
    </i>
    <i>
      <x v="7"/>
    </i>
  </colItems>
  <dataFields count="1">
    <dataField name="Sum of  Profit " fld="16" baseField="7" baseItem="0"/>
  </dataFields>
  <formats count="1">
    <format dxfId="0">
      <pivotArea outline="0" collapsedLevelsAreSubtotals="1" fieldPosition="0"/>
    </format>
  </formats>
  <chartFormats count="8">
    <chartFormat chart="0" format="8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0" format="9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0" format="10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2"/>
          </reference>
        </references>
      </pivotArea>
    </chartFormat>
    <chartFormat chart="0" format="11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3"/>
          </reference>
        </references>
      </pivotArea>
    </chartFormat>
    <chartFormat chart="0" format="12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4"/>
          </reference>
        </references>
      </pivotArea>
    </chartFormat>
    <chartFormat chart="0" format="13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5"/>
          </reference>
        </references>
      </pivotArea>
    </chartFormat>
    <chartFormat chart="0" format="14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6"/>
          </reference>
        </references>
      </pivotArea>
    </chartFormat>
    <chartFormat chart="0" format="15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7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I10"/>
  <sheetViews>
    <sheetView workbookViewId="0">
      <selection activeCell="I16" sqref="I16"/>
    </sheetView>
  </sheetViews>
  <sheetFormatPr defaultRowHeight="15" x14ac:dyDescent="0.25"/>
  <cols>
    <col min="1" max="1" width="21.85546875" customWidth="1"/>
    <col min="2" max="2" width="12.5703125" customWidth="1"/>
    <col min="3" max="3" width="7.42578125" customWidth="1"/>
    <col min="4" max="4" width="6.85546875" customWidth="1"/>
    <col min="6" max="6" width="13.5703125" bestFit="1" customWidth="1"/>
    <col min="7" max="7" width="15.5703125" bestFit="1" customWidth="1"/>
    <col min="8" max="8" width="13.140625" bestFit="1" customWidth="1"/>
    <col min="9" max="9" width="13.5703125" bestFit="1" customWidth="1"/>
    <col min="10" max="10" width="11.28515625" bestFit="1" customWidth="1"/>
  </cols>
  <sheetData>
    <row r="3" spans="1:9" x14ac:dyDescent="0.25">
      <c r="A3" s="11" t="s">
        <v>160</v>
      </c>
      <c r="B3" s="14" t="s">
        <v>8</v>
      </c>
      <c r="C3" s="12"/>
      <c r="D3" s="12"/>
      <c r="E3" s="12"/>
      <c r="F3" s="12"/>
      <c r="G3" s="12"/>
      <c r="H3" s="12"/>
      <c r="I3" s="12"/>
    </row>
    <row r="4" spans="1:9" x14ac:dyDescent="0.25">
      <c r="A4" s="11" t="s">
        <v>158</v>
      </c>
      <c r="B4" s="15" t="s">
        <v>36</v>
      </c>
      <c r="C4" s="15" t="s">
        <v>58</v>
      </c>
      <c r="D4" s="15" t="s">
        <v>87</v>
      </c>
      <c r="E4" s="15" t="s">
        <v>50</v>
      </c>
      <c r="F4" s="15" t="s">
        <v>40</v>
      </c>
      <c r="G4" s="15" t="s">
        <v>29</v>
      </c>
      <c r="H4" s="15" t="s">
        <v>23</v>
      </c>
      <c r="I4" s="15" t="s">
        <v>45</v>
      </c>
    </row>
    <row r="5" spans="1:9" x14ac:dyDescent="0.25">
      <c r="A5" s="13" t="s">
        <v>42</v>
      </c>
      <c r="B5" s="16">
        <v>11</v>
      </c>
      <c r="C5" s="16">
        <v>0</v>
      </c>
      <c r="D5" s="16">
        <v>10</v>
      </c>
      <c r="E5" s="16">
        <v>0</v>
      </c>
      <c r="F5" s="16">
        <v>0</v>
      </c>
      <c r="G5" s="16">
        <v>6</v>
      </c>
      <c r="H5" s="16">
        <v>0</v>
      </c>
      <c r="I5" s="16">
        <v>0</v>
      </c>
    </row>
    <row r="6" spans="1:9" x14ac:dyDescent="0.25">
      <c r="A6" s="13" t="s">
        <v>35</v>
      </c>
      <c r="B6" s="16">
        <v>20</v>
      </c>
      <c r="C6" s="16">
        <v>11</v>
      </c>
      <c r="D6" s="16">
        <v>10</v>
      </c>
      <c r="E6" s="16">
        <v>0</v>
      </c>
      <c r="F6" s="16">
        <v>0</v>
      </c>
      <c r="G6" s="16">
        <v>4</v>
      </c>
      <c r="H6" s="16">
        <v>16</v>
      </c>
      <c r="I6" s="16">
        <v>0</v>
      </c>
    </row>
    <row r="7" spans="1:9" x14ac:dyDescent="0.25">
      <c r="A7" s="13" t="s">
        <v>21</v>
      </c>
      <c r="B7" s="16">
        <v>32</v>
      </c>
      <c r="C7" s="16">
        <v>0</v>
      </c>
      <c r="D7" s="16">
        <v>0</v>
      </c>
      <c r="E7" s="16">
        <v>13</v>
      </c>
      <c r="F7" s="16">
        <v>2</v>
      </c>
      <c r="G7" s="16">
        <v>4</v>
      </c>
      <c r="H7" s="16">
        <v>47</v>
      </c>
      <c r="I7" s="16">
        <v>1</v>
      </c>
    </row>
    <row r="8" spans="1:9" x14ac:dyDescent="0.25">
      <c r="A8" s="17" t="s">
        <v>22</v>
      </c>
      <c r="B8" s="16">
        <v>17</v>
      </c>
      <c r="C8" s="16">
        <v>0</v>
      </c>
      <c r="D8" s="16">
        <v>0</v>
      </c>
      <c r="E8" s="16">
        <v>8</v>
      </c>
      <c r="F8" s="16">
        <v>2</v>
      </c>
      <c r="G8" s="16">
        <v>1</v>
      </c>
      <c r="H8" s="16">
        <v>27</v>
      </c>
      <c r="I8" s="16">
        <v>0</v>
      </c>
    </row>
    <row r="9" spans="1:9" x14ac:dyDescent="0.25">
      <c r="A9" s="17" t="s">
        <v>28</v>
      </c>
      <c r="B9" s="16">
        <v>15</v>
      </c>
      <c r="C9" s="16">
        <v>0</v>
      </c>
      <c r="D9" s="16">
        <v>0</v>
      </c>
      <c r="E9" s="16">
        <v>5</v>
      </c>
      <c r="F9" s="16">
        <v>0</v>
      </c>
      <c r="G9" s="16">
        <v>3</v>
      </c>
      <c r="H9" s="16">
        <v>20</v>
      </c>
      <c r="I9" s="16">
        <v>1</v>
      </c>
    </row>
    <row r="10" spans="1:9" x14ac:dyDescent="0.25">
      <c r="A10" s="13" t="s">
        <v>159</v>
      </c>
      <c r="B10" s="16">
        <v>63</v>
      </c>
      <c r="C10" s="16">
        <v>11</v>
      </c>
      <c r="D10" s="16">
        <v>20</v>
      </c>
      <c r="E10" s="16">
        <v>13</v>
      </c>
      <c r="F10" s="16">
        <v>2</v>
      </c>
      <c r="G10" s="16">
        <v>14</v>
      </c>
      <c r="H10" s="16">
        <v>63</v>
      </c>
      <c r="I10" s="16">
        <v>1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I13"/>
  <sheetViews>
    <sheetView tabSelected="1" workbookViewId="0">
      <selection activeCell="N18" sqref="N18"/>
    </sheetView>
  </sheetViews>
  <sheetFormatPr defaultRowHeight="15" x14ac:dyDescent="0.25"/>
  <cols>
    <col min="1" max="1" width="23.140625" customWidth="1"/>
    <col min="2" max="2" width="16.28515625" customWidth="1"/>
    <col min="3" max="3" width="7.42578125" customWidth="1"/>
    <col min="4" max="4" width="6.85546875" customWidth="1"/>
    <col min="5" max="5" width="9.140625" customWidth="1"/>
    <col min="6" max="6" width="13.5703125" bestFit="1" customWidth="1"/>
    <col min="7" max="7" width="15.5703125" bestFit="1" customWidth="1"/>
    <col min="8" max="8" width="13.140625" bestFit="1" customWidth="1"/>
    <col min="9" max="9" width="13.5703125" bestFit="1" customWidth="1"/>
  </cols>
  <sheetData>
    <row r="3" spans="1:9" x14ac:dyDescent="0.25">
      <c r="A3" s="9" t="s">
        <v>162</v>
      </c>
      <c r="B3" s="9" t="s">
        <v>161</v>
      </c>
    </row>
    <row r="4" spans="1:9" x14ac:dyDescent="0.25">
      <c r="A4" s="9" t="s">
        <v>158</v>
      </c>
      <c r="B4" t="s">
        <v>36</v>
      </c>
      <c r="C4" t="s">
        <v>58</v>
      </c>
      <c r="D4" t="s">
        <v>87</v>
      </c>
      <c r="E4" t="s">
        <v>50</v>
      </c>
      <c r="F4" t="s">
        <v>40</v>
      </c>
      <c r="G4" t="s">
        <v>29</v>
      </c>
      <c r="H4" t="s">
        <v>23</v>
      </c>
      <c r="I4" t="s">
        <v>45</v>
      </c>
    </row>
    <row r="5" spans="1:9" x14ac:dyDescent="0.25">
      <c r="A5" s="8" t="s">
        <v>22</v>
      </c>
      <c r="B5" s="18">
        <v>31745</v>
      </c>
      <c r="C5" s="18">
        <v>6302</v>
      </c>
      <c r="D5" s="18">
        <v>7345</v>
      </c>
      <c r="E5" s="18">
        <v>8410</v>
      </c>
      <c r="F5" s="18">
        <v>2086</v>
      </c>
      <c r="G5" s="18">
        <v>3133</v>
      </c>
      <c r="H5" s="18">
        <v>38522</v>
      </c>
      <c r="I5" s="18">
        <v>0</v>
      </c>
    </row>
    <row r="6" spans="1:9" x14ac:dyDescent="0.25">
      <c r="A6" s="10" t="s">
        <v>21</v>
      </c>
      <c r="B6" s="18">
        <v>13276</v>
      </c>
      <c r="C6" s="18">
        <v>0</v>
      </c>
      <c r="D6" s="18">
        <v>0</v>
      </c>
      <c r="E6" s="18">
        <v>8410</v>
      </c>
      <c r="F6" s="18">
        <v>2086</v>
      </c>
      <c r="G6" s="18">
        <v>1043</v>
      </c>
      <c r="H6" s="18">
        <v>27570</v>
      </c>
      <c r="I6" s="18">
        <v>0</v>
      </c>
    </row>
    <row r="7" spans="1:9" x14ac:dyDescent="0.25">
      <c r="A7" s="10" t="s">
        <v>35</v>
      </c>
      <c r="B7" s="18">
        <v>16204</v>
      </c>
      <c r="C7" s="18">
        <v>6302</v>
      </c>
      <c r="D7" s="18">
        <v>1054</v>
      </c>
      <c r="E7" s="18">
        <v>0</v>
      </c>
      <c r="F7" s="18">
        <v>0</v>
      </c>
      <c r="G7" s="18">
        <v>1047</v>
      </c>
      <c r="H7" s="18">
        <v>10952</v>
      </c>
      <c r="I7" s="18">
        <v>0</v>
      </c>
    </row>
    <row r="8" spans="1:9" x14ac:dyDescent="0.25">
      <c r="A8" s="10" t="s">
        <v>42</v>
      </c>
      <c r="B8" s="18">
        <v>2265</v>
      </c>
      <c r="C8" s="18">
        <v>0</v>
      </c>
      <c r="D8" s="18">
        <v>6291</v>
      </c>
      <c r="E8" s="18">
        <v>0</v>
      </c>
      <c r="F8" s="18">
        <v>0</v>
      </c>
      <c r="G8" s="18">
        <v>1043</v>
      </c>
      <c r="H8" s="18">
        <v>0</v>
      </c>
      <c r="I8" s="18">
        <v>0</v>
      </c>
    </row>
    <row r="9" spans="1:9" x14ac:dyDescent="0.25">
      <c r="A9" s="8" t="s">
        <v>28</v>
      </c>
      <c r="B9" s="18">
        <v>18581</v>
      </c>
      <c r="C9" s="18">
        <v>2821</v>
      </c>
      <c r="D9" s="18">
        <v>13636</v>
      </c>
      <c r="E9" s="18">
        <v>5226</v>
      </c>
      <c r="F9" s="18">
        <v>0</v>
      </c>
      <c r="G9" s="18">
        <v>5939</v>
      </c>
      <c r="H9" s="18">
        <v>18719</v>
      </c>
      <c r="I9" s="18">
        <v>1043</v>
      </c>
    </row>
    <row r="10" spans="1:9" x14ac:dyDescent="0.25">
      <c r="A10" s="10" t="s">
        <v>21</v>
      </c>
      <c r="B10" s="18">
        <v>15656</v>
      </c>
      <c r="C10" s="18">
        <v>0</v>
      </c>
      <c r="D10" s="18">
        <v>0</v>
      </c>
      <c r="E10" s="18">
        <v>5226</v>
      </c>
      <c r="F10" s="18">
        <v>0</v>
      </c>
      <c r="G10" s="18">
        <v>3151</v>
      </c>
      <c r="H10" s="18">
        <v>16035</v>
      </c>
      <c r="I10" s="18">
        <v>1043</v>
      </c>
    </row>
    <row r="11" spans="1:9" x14ac:dyDescent="0.25">
      <c r="A11" s="10" t="s">
        <v>35</v>
      </c>
      <c r="B11" s="18">
        <v>2435</v>
      </c>
      <c r="C11" s="18">
        <v>2821</v>
      </c>
      <c r="D11" s="18">
        <v>9420</v>
      </c>
      <c r="E11" s="18">
        <v>0</v>
      </c>
      <c r="F11" s="18">
        <v>0</v>
      </c>
      <c r="G11" s="18">
        <v>1043</v>
      </c>
      <c r="H11" s="18">
        <v>2684</v>
      </c>
      <c r="I11" s="18">
        <v>0</v>
      </c>
    </row>
    <row r="12" spans="1:9" x14ac:dyDescent="0.25">
      <c r="A12" s="10" t="s">
        <v>42</v>
      </c>
      <c r="B12" s="18">
        <v>490</v>
      </c>
      <c r="C12" s="18">
        <v>0</v>
      </c>
      <c r="D12" s="18">
        <v>4216</v>
      </c>
      <c r="E12" s="18">
        <v>0</v>
      </c>
      <c r="F12" s="18">
        <v>0</v>
      </c>
      <c r="G12" s="18">
        <v>1745</v>
      </c>
      <c r="H12" s="18">
        <v>0</v>
      </c>
      <c r="I12" s="18">
        <v>0</v>
      </c>
    </row>
    <row r="13" spans="1:9" x14ac:dyDescent="0.25">
      <c r="A13" s="8" t="s">
        <v>159</v>
      </c>
      <c r="B13" s="18">
        <v>50326</v>
      </c>
      <c r="C13" s="18">
        <v>9123</v>
      </c>
      <c r="D13" s="18">
        <v>20981</v>
      </c>
      <c r="E13" s="18">
        <v>13636</v>
      </c>
      <c r="F13" s="18">
        <v>2086</v>
      </c>
      <c r="G13" s="18">
        <v>9072</v>
      </c>
      <c r="H13" s="18">
        <v>57241</v>
      </c>
      <c r="I13" s="18">
        <v>1043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89"/>
  <sheetViews>
    <sheetView workbookViewId="0">
      <selection activeCell="A2" sqref="A1:S89"/>
    </sheetView>
  </sheetViews>
  <sheetFormatPr defaultRowHeight="15" x14ac:dyDescent="0.25"/>
  <cols>
    <col min="1" max="1" width="13.28515625" bestFit="1" customWidth="1"/>
    <col min="2" max="2" width="10.7109375" bestFit="1" customWidth="1"/>
    <col min="4" max="4" width="10.140625" bestFit="1" customWidth="1"/>
    <col min="7" max="7" width="19.7109375" style="8" bestFit="1" customWidth="1"/>
    <col min="9" max="9" width="15.42578125" bestFit="1" customWidth="1"/>
    <col min="10" max="10" width="19.85546875" bestFit="1" customWidth="1"/>
    <col min="12" max="12" width="14.85546875" bestFit="1" customWidth="1"/>
    <col min="13" max="13" width="25" bestFit="1" customWidth="1"/>
    <col min="15" max="15" width="10.42578125" bestFit="1" customWidth="1"/>
    <col min="16" max="16" width="11" bestFit="1" customWidth="1"/>
    <col min="17" max="18" width="9.85546875" bestFit="1" customWidth="1"/>
    <col min="19" max="19" width="10.85546875" bestFit="1" customWidth="1"/>
  </cols>
  <sheetData>
    <row r="1" spans="1:19" s="4" customFormat="1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7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6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</row>
    <row r="2" spans="1:19" x14ac:dyDescent="0.25">
      <c r="A2" s="3" t="s">
        <v>157</v>
      </c>
      <c r="B2" s="1">
        <v>44531</v>
      </c>
      <c r="C2">
        <v>1</v>
      </c>
      <c r="D2" t="s">
        <v>20</v>
      </c>
      <c r="E2">
        <v>2021</v>
      </c>
      <c r="F2">
        <v>39</v>
      </c>
      <c r="G2" s="8" t="s">
        <v>21</v>
      </c>
      <c r="H2" t="s">
        <v>22</v>
      </c>
      <c r="I2" t="s">
        <v>23</v>
      </c>
      <c r="J2" t="s">
        <v>24</v>
      </c>
      <c r="K2" t="s">
        <v>25</v>
      </c>
      <c r="L2" t="s">
        <v>26</v>
      </c>
      <c r="M2" s="5" t="s">
        <v>27</v>
      </c>
      <c r="N2">
        <v>4</v>
      </c>
      <c r="O2" s="2">
        <v>1252</v>
      </c>
      <c r="P2" s="2">
        <v>2295</v>
      </c>
      <c r="Q2" s="2">
        <v>4172</v>
      </c>
      <c r="R2" s="2">
        <f>N2*O2</f>
        <v>5008</v>
      </c>
      <c r="S2" s="2">
        <f>N2*P2</f>
        <v>9180</v>
      </c>
    </row>
    <row r="3" spans="1:19" x14ac:dyDescent="0.25">
      <c r="A3" s="3" t="s">
        <v>19</v>
      </c>
      <c r="B3" s="1">
        <v>44531</v>
      </c>
      <c r="C3">
        <v>1</v>
      </c>
      <c r="D3" t="s">
        <v>20</v>
      </c>
      <c r="E3">
        <v>2021</v>
      </c>
      <c r="F3">
        <v>44</v>
      </c>
      <c r="G3" s="8" t="s">
        <v>21</v>
      </c>
      <c r="H3" t="s">
        <v>28</v>
      </c>
      <c r="I3" t="s">
        <v>29</v>
      </c>
      <c r="J3" t="s">
        <v>30</v>
      </c>
      <c r="K3" t="s">
        <v>25</v>
      </c>
      <c r="L3" t="s">
        <v>26</v>
      </c>
      <c r="M3" s="5" t="s">
        <v>31</v>
      </c>
      <c r="N3">
        <v>1</v>
      </c>
      <c r="O3" s="2">
        <v>1266</v>
      </c>
      <c r="P3" s="2">
        <v>2320</v>
      </c>
      <c r="Q3" s="2">
        <v>1054</v>
      </c>
      <c r="R3" s="2">
        <f t="shared" ref="R3:R66" si="0">N3*O3</f>
        <v>1266</v>
      </c>
      <c r="S3" s="2">
        <f t="shared" ref="S3:S66" si="1">N3*P3</f>
        <v>2320</v>
      </c>
    </row>
    <row r="4" spans="1:19" x14ac:dyDescent="0.25">
      <c r="A4" s="3" t="s">
        <v>32</v>
      </c>
      <c r="B4" s="1">
        <v>44532</v>
      </c>
      <c r="C4">
        <v>2</v>
      </c>
      <c r="D4" t="s">
        <v>20</v>
      </c>
      <c r="E4">
        <v>2021</v>
      </c>
      <c r="F4">
        <v>37</v>
      </c>
      <c r="G4" s="8" t="s">
        <v>21</v>
      </c>
      <c r="H4" t="s">
        <v>28</v>
      </c>
      <c r="I4" t="s">
        <v>23</v>
      </c>
      <c r="J4" t="s">
        <v>24</v>
      </c>
      <c r="K4" t="s">
        <v>25</v>
      </c>
      <c r="L4" t="s">
        <v>26</v>
      </c>
      <c r="M4" s="5" t="s">
        <v>33</v>
      </c>
      <c r="N4">
        <v>2</v>
      </c>
      <c r="O4" s="2">
        <v>420</v>
      </c>
      <c r="P4" s="2">
        <v>769</v>
      </c>
      <c r="Q4" s="2">
        <v>698</v>
      </c>
      <c r="R4" s="2">
        <f t="shared" si="0"/>
        <v>840</v>
      </c>
      <c r="S4" s="2">
        <f t="shared" si="1"/>
        <v>1538</v>
      </c>
    </row>
    <row r="5" spans="1:19" x14ac:dyDescent="0.25">
      <c r="A5" s="3" t="s">
        <v>34</v>
      </c>
      <c r="B5" s="1">
        <v>44532</v>
      </c>
      <c r="C5">
        <v>2</v>
      </c>
      <c r="D5" t="s">
        <v>20</v>
      </c>
      <c r="E5">
        <v>2021</v>
      </c>
      <c r="F5">
        <v>31</v>
      </c>
      <c r="G5" s="8" t="s">
        <v>35</v>
      </c>
      <c r="H5" t="s">
        <v>22</v>
      </c>
      <c r="I5" t="s">
        <v>36</v>
      </c>
      <c r="J5" t="s">
        <v>37</v>
      </c>
      <c r="K5" t="s">
        <v>25</v>
      </c>
      <c r="L5" t="s">
        <v>26</v>
      </c>
      <c r="M5" s="5" t="s">
        <v>38</v>
      </c>
      <c r="N5">
        <v>1</v>
      </c>
      <c r="O5" s="2">
        <v>420</v>
      </c>
      <c r="P5" s="2">
        <v>769</v>
      </c>
      <c r="Q5" s="2">
        <v>349</v>
      </c>
      <c r="R5" s="2">
        <f t="shared" si="0"/>
        <v>420</v>
      </c>
      <c r="S5" s="2">
        <f t="shared" si="1"/>
        <v>769</v>
      </c>
    </row>
    <row r="6" spans="1:19" x14ac:dyDescent="0.25">
      <c r="A6" s="3" t="s">
        <v>39</v>
      </c>
      <c r="B6" s="1">
        <v>44533</v>
      </c>
      <c r="C6">
        <v>3</v>
      </c>
      <c r="D6" t="s">
        <v>20</v>
      </c>
      <c r="E6">
        <v>2021</v>
      </c>
      <c r="F6">
        <v>37</v>
      </c>
      <c r="G6" s="8" t="s">
        <v>21</v>
      </c>
      <c r="H6" t="s">
        <v>22</v>
      </c>
      <c r="I6" t="s">
        <v>40</v>
      </c>
      <c r="J6" t="s">
        <v>24</v>
      </c>
      <c r="K6" t="s">
        <v>25</v>
      </c>
      <c r="L6" t="s">
        <v>26</v>
      </c>
      <c r="M6" s="5" t="s">
        <v>27</v>
      </c>
      <c r="N6">
        <v>2</v>
      </c>
      <c r="O6" s="2">
        <v>1252</v>
      </c>
      <c r="P6" s="2">
        <v>2295</v>
      </c>
      <c r="Q6" s="2">
        <v>2086</v>
      </c>
      <c r="R6" s="2">
        <f t="shared" si="0"/>
        <v>2504</v>
      </c>
      <c r="S6" s="2">
        <f t="shared" si="1"/>
        <v>4590</v>
      </c>
    </row>
    <row r="7" spans="1:19" x14ac:dyDescent="0.25">
      <c r="A7" s="3" t="s">
        <v>41</v>
      </c>
      <c r="B7" s="1">
        <v>44533</v>
      </c>
      <c r="C7">
        <v>3</v>
      </c>
      <c r="D7" t="s">
        <v>20</v>
      </c>
      <c r="E7">
        <v>2021</v>
      </c>
      <c r="F7">
        <v>24</v>
      </c>
      <c r="G7" s="8" t="s">
        <v>42</v>
      </c>
      <c r="H7" t="s">
        <v>22</v>
      </c>
      <c r="I7" t="s">
        <v>29</v>
      </c>
      <c r="J7" t="s">
        <v>30</v>
      </c>
      <c r="K7" t="s">
        <v>25</v>
      </c>
      <c r="L7" t="s">
        <v>26</v>
      </c>
      <c r="M7" s="5" t="s">
        <v>43</v>
      </c>
      <c r="N7">
        <v>1</v>
      </c>
      <c r="O7" s="2">
        <v>1252</v>
      </c>
      <c r="P7" s="2">
        <v>2295</v>
      </c>
      <c r="Q7" s="2">
        <v>1043</v>
      </c>
      <c r="R7" s="2">
        <f t="shared" si="0"/>
        <v>1252</v>
      </c>
      <c r="S7" s="2">
        <f t="shared" si="1"/>
        <v>2295</v>
      </c>
    </row>
    <row r="8" spans="1:19" x14ac:dyDescent="0.25">
      <c r="A8" s="3" t="s">
        <v>44</v>
      </c>
      <c r="B8" s="1">
        <v>44533</v>
      </c>
      <c r="C8">
        <v>3</v>
      </c>
      <c r="D8" t="s">
        <v>20</v>
      </c>
      <c r="E8">
        <v>2021</v>
      </c>
      <c r="F8">
        <v>37</v>
      </c>
      <c r="G8" s="8" t="s">
        <v>21</v>
      </c>
      <c r="H8" t="s">
        <v>28</v>
      </c>
      <c r="I8" t="s">
        <v>45</v>
      </c>
      <c r="J8" t="s">
        <v>46</v>
      </c>
      <c r="K8" t="s">
        <v>25</v>
      </c>
      <c r="L8" t="s">
        <v>26</v>
      </c>
      <c r="M8" s="5" t="s">
        <v>27</v>
      </c>
      <c r="N8">
        <v>1</v>
      </c>
      <c r="O8" s="2">
        <v>1252</v>
      </c>
      <c r="P8" s="2">
        <v>2295</v>
      </c>
      <c r="Q8" s="2">
        <v>1043</v>
      </c>
      <c r="R8" s="2">
        <f t="shared" si="0"/>
        <v>1252</v>
      </c>
      <c r="S8" s="2">
        <f t="shared" si="1"/>
        <v>2295</v>
      </c>
    </row>
    <row r="9" spans="1:19" x14ac:dyDescent="0.25">
      <c r="A9" s="3" t="s">
        <v>47</v>
      </c>
      <c r="B9" s="1">
        <v>44534</v>
      </c>
      <c r="C9">
        <v>4</v>
      </c>
      <c r="D9" t="s">
        <v>20</v>
      </c>
      <c r="E9">
        <v>2021</v>
      </c>
      <c r="F9">
        <v>31</v>
      </c>
      <c r="G9" s="8" t="s">
        <v>35</v>
      </c>
      <c r="H9" t="s">
        <v>22</v>
      </c>
      <c r="I9" t="s">
        <v>36</v>
      </c>
      <c r="J9" t="s">
        <v>37</v>
      </c>
      <c r="K9" t="s">
        <v>25</v>
      </c>
      <c r="L9" t="s">
        <v>26</v>
      </c>
      <c r="M9" s="5" t="s">
        <v>38</v>
      </c>
      <c r="N9">
        <v>4</v>
      </c>
      <c r="O9" s="2">
        <v>420</v>
      </c>
      <c r="P9" s="2">
        <v>769</v>
      </c>
      <c r="Q9" s="2">
        <v>1396</v>
      </c>
      <c r="R9" s="2">
        <f t="shared" si="0"/>
        <v>1680</v>
      </c>
      <c r="S9" s="2">
        <f t="shared" si="1"/>
        <v>3076</v>
      </c>
    </row>
    <row r="10" spans="1:19" x14ac:dyDescent="0.25">
      <c r="A10" s="3" t="s">
        <v>48</v>
      </c>
      <c r="B10" s="1">
        <v>44535</v>
      </c>
      <c r="C10">
        <v>5</v>
      </c>
      <c r="D10" t="s">
        <v>20</v>
      </c>
      <c r="E10">
        <v>2021</v>
      </c>
      <c r="F10">
        <v>39</v>
      </c>
      <c r="G10" s="8" t="s">
        <v>21</v>
      </c>
      <c r="H10" t="s">
        <v>22</v>
      </c>
      <c r="I10" t="s">
        <v>23</v>
      </c>
      <c r="J10" t="s">
        <v>24</v>
      </c>
      <c r="K10" t="s">
        <v>25</v>
      </c>
      <c r="L10" t="s">
        <v>26</v>
      </c>
      <c r="M10" s="5" t="s">
        <v>27</v>
      </c>
      <c r="N10">
        <v>4</v>
      </c>
      <c r="O10" s="2">
        <v>1252</v>
      </c>
      <c r="P10" s="2">
        <v>2295</v>
      </c>
      <c r="Q10" s="2">
        <v>4172</v>
      </c>
      <c r="R10" s="2">
        <f t="shared" si="0"/>
        <v>5008</v>
      </c>
      <c r="S10" s="2">
        <f t="shared" si="1"/>
        <v>9180</v>
      </c>
    </row>
    <row r="11" spans="1:19" x14ac:dyDescent="0.25">
      <c r="A11" s="3" t="s">
        <v>49</v>
      </c>
      <c r="B11" s="1">
        <v>44535</v>
      </c>
      <c r="D11" t="s">
        <v>20</v>
      </c>
      <c r="E11">
        <v>2021</v>
      </c>
      <c r="F11">
        <v>42</v>
      </c>
      <c r="G11" s="8" t="s">
        <v>21</v>
      </c>
      <c r="H11" t="s">
        <v>28</v>
      </c>
      <c r="I11" t="s">
        <v>50</v>
      </c>
      <c r="J11" t="s">
        <v>51</v>
      </c>
      <c r="K11" t="s">
        <v>25</v>
      </c>
      <c r="L11" t="s">
        <v>26</v>
      </c>
      <c r="M11" s="5" t="s">
        <v>43</v>
      </c>
      <c r="N11">
        <v>4</v>
      </c>
      <c r="O11" s="2">
        <v>1252</v>
      </c>
      <c r="P11" s="2">
        <v>2295</v>
      </c>
      <c r="Q11" s="2">
        <v>4172</v>
      </c>
      <c r="R11" s="2">
        <f t="shared" si="0"/>
        <v>5008</v>
      </c>
      <c r="S11" s="2">
        <f t="shared" si="1"/>
        <v>9180</v>
      </c>
    </row>
    <row r="12" spans="1:19" x14ac:dyDescent="0.25">
      <c r="A12" s="3" t="s">
        <v>52</v>
      </c>
      <c r="B12" s="1">
        <v>44535</v>
      </c>
      <c r="C12">
        <v>5</v>
      </c>
      <c r="D12" t="s">
        <v>20</v>
      </c>
      <c r="E12">
        <v>2021</v>
      </c>
      <c r="F12">
        <v>35</v>
      </c>
      <c r="G12" s="8" t="s">
        <v>21</v>
      </c>
      <c r="H12" t="s">
        <v>22</v>
      </c>
      <c r="I12" t="s">
        <v>36</v>
      </c>
      <c r="J12" t="s">
        <v>53</v>
      </c>
      <c r="K12" t="s">
        <v>25</v>
      </c>
      <c r="L12" t="s">
        <v>26</v>
      </c>
      <c r="M12" s="5" t="s">
        <v>54</v>
      </c>
      <c r="N12">
        <v>1</v>
      </c>
      <c r="O12" s="2">
        <v>1266</v>
      </c>
      <c r="P12" s="2">
        <v>2320</v>
      </c>
      <c r="Q12" s="2">
        <v>1054</v>
      </c>
      <c r="R12" s="2">
        <f t="shared" si="0"/>
        <v>1266</v>
      </c>
      <c r="S12" s="2">
        <f t="shared" si="1"/>
        <v>2320</v>
      </c>
    </row>
    <row r="13" spans="1:19" x14ac:dyDescent="0.25">
      <c r="A13" s="3" t="s">
        <v>55</v>
      </c>
      <c r="B13" s="1">
        <v>44535</v>
      </c>
      <c r="C13">
        <v>5</v>
      </c>
      <c r="D13" t="s">
        <v>20</v>
      </c>
      <c r="E13">
        <v>2021</v>
      </c>
      <c r="F13">
        <v>37</v>
      </c>
      <c r="G13" s="8" t="s">
        <v>21</v>
      </c>
      <c r="H13" t="s">
        <v>22</v>
      </c>
      <c r="I13" t="s">
        <v>23</v>
      </c>
      <c r="J13" t="s">
        <v>24</v>
      </c>
      <c r="K13" t="s">
        <v>25</v>
      </c>
      <c r="L13" t="s">
        <v>26</v>
      </c>
      <c r="M13" s="5" t="s">
        <v>27</v>
      </c>
      <c r="N13">
        <v>1</v>
      </c>
      <c r="O13" s="2">
        <v>1252</v>
      </c>
      <c r="P13" s="2">
        <v>2295</v>
      </c>
      <c r="Q13" s="2">
        <v>1043</v>
      </c>
      <c r="R13" s="2">
        <f t="shared" si="0"/>
        <v>1252</v>
      </c>
      <c r="S13" s="2">
        <f t="shared" si="1"/>
        <v>2295</v>
      </c>
    </row>
    <row r="14" spans="1:19" x14ac:dyDescent="0.25">
      <c r="A14" s="3" t="s">
        <v>56</v>
      </c>
      <c r="B14" s="1">
        <v>44536</v>
      </c>
      <c r="C14">
        <v>6</v>
      </c>
      <c r="D14" t="s">
        <v>20</v>
      </c>
      <c r="E14">
        <v>2021</v>
      </c>
      <c r="F14">
        <v>23</v>
      </c>
      <c r="G14" s="8" t="s">
        <v>42</v>
      </c>
      <c r="H14" t="s">
        <v>28</v>
      </c>
      <c r="I14" t="s">
        <v>29</v>
      </c>
      <c r="J14" t="s">
        <v>30</v>
      </c>
      <c r="K14" t="s">
        <v>25</v>
      </c>
      <c r="L14" t="s">
        <v>26</v>
      </c>
      <c r="M14" s="5" t="s">
        <v>33</v>
      </c>
      <c r="N14">
        <v>3</v>
      </c>
      <c r="O14" s="2">
        <v>420</v>
      </c>
      <c r="P14" s="2">
        <v>769</v>
      </c>
      <c r="Q14" s="2">
        <v>1047</v>
      </c>
      <c r="R14" s="2">
        <f t="shared" si="0"/>
        <v>1260</v>
      </c>
      <c r="S14" s="2">
        <f t="shared" si="1"/>
        <v>2307</v>
      </c>
    </row>
    <row r="15" spans="1:19" x14ac:dyDescent="0.25">
      <c r="A15" s="3" t="s">
        <v>57</v>
      </c>
      <c r="B15" s="1">
        <v>44536</v>
      </c>
      <c r="C15">
        <v>6</v>
      </c>
      <c r="D15" t="s">
        <v>20</v>
      </c>
      <c r="E15">
        <v>2021</v>
      </c>
      <c r="F15">
        <v>27</v>
      </c>
      <c r="G15" s="8" t="s">
        <v>35</v>
      </c>
      <c r="H15" t="s">
        <v>28</v>
      </c>
      <c r="I15" t="s">
        <v>58</v>
      </c>
      <c r="J15" t="s">
        <v>59</v>
      </c>
      <c r="K15" t="s">
        <v>25</v>
      </c>
      <c r="L15" t="s">
        <v>26</v>
      </c>
      <c r="M15" s="5" t="s">
        <v>27</v>
      </c>
      <c r="N15">
        <v>1</v>
      </c>
      <c r="O15" s="2">
        <v>1252</v>
      </c>
      <c r="P15" s="2">
        <v>2295</v>
      </c>
      <c r="Q15" s="2">
        <v>1043</v>
      </c>
      <c r="R15" s="2">
        <f t="shared" si="0"/>
        <v>1252</v>
      </c>
      <c r="S15" s="2">
        <f t="shared" si="1"/>
        <v>2295</v>
      </c>
    </row>
    <row r="16" spans="1:19" x14ac:dyDescent="0.25">
      <c r="A16" s="3" t="s">
        <v>60</v>
      </c>
      <c r="B16" s="1">
        <v>44536</v>
      </c>
      <c r="C16">
        <v>6</v>
      </c>
      <c r="D16" t="s">
        <v>20</v>
      </c>
      <c r="E16">
        <v>2021</v>
      </c>
      <c r="F16">
        <v>36</v>
      </c>
      <c r="G16" s="8" t="s">
        <v>21</v>
      </c>
      <c r="H16" t="s">
        <v>28</v>
      </c>
      <c r="I16" t="s">
        <v>36</v>
      </c>
      <c r="J16" t="s">
        <v>37</v>
      </c>
      <c r="K16" t="s">
        <v>25</v>
      </c>
      <c r="L16" t="s">
        <v>26</v>
      </c>
      <c r="M16" s="5" t="s">
        <v>61</v>
      </c>
      <c r="N16">
        <v>1</v>
      </c>
      <c r="O16" s="2">
        <v>1252</v>
      </c>
      <c r="P16" s="2">
        <v>2295</v>
      </c>
      <c r="Q16" s="2">
        <v>1043</v>
      </c>
      <c r="R16" s="2">
        <f t="shared" si="0"/>
        <v>1252</v>
      </c>
      <c r="S16" s="2">
        <f t="shared" si="1"/>
        <v>2295</v>
      </c>
    </row>
    <row r="17" spans="1:19" x14ac:dyDescent="0.25">
      <c r="A17" s="3" t="s">
        <v>62</v>
      </c>
      <c r="B17" s="1">
        <v>44536</v>
      </c>
      <c r="C17">
        <v>6</v>
      </c>
      <c r="D17" t="s">
        <v>20</v>
      </c>
      <c r="E17">
        <v>2021</v>
      </c>
      <c r="F17">
        <v>47</v>
      </c>
      <c r="G17" s="8" t="s">
        <v>21</v>
      </c>
      <c r="H17" t="s">
        <v>28</v>
      </c>
      <c r="I17" t="s">
        <v>29</v>
      </c>
      <c r="J17" t="s">
        <v>30</v>
      </c>
      <c r="K17" t="s">
        <v>25</v>
      </c>
      <c r="L17" t="s">
        <v>26</v>
      </c>
      <c r="M17" s="5" t="s">
        <v>54</v>
      </c>
      <c r="N17">
        <v>1</v>
      </c>
      <c r="O17" s="2">
        <v>1266</v>
      </c>
      <c r="P17" s="2">
        <v>2320</v>
      </c>
      <c r="Q17" s="2">
        <v>1054</v>
      </c>
      <c r="R17" s="2">
        <f t="shared" si="0"/>
        <v>1266</v>
      </c>
      <c r="S17" s="2">
        <f t="shared" si="1"/>
        <v>2320</v>
      </c>
    </row>
    <row r="18" spans="1:19" x14ac:dyDescent="0.25">
      <c r="A18" s="3" t="s">
        <v>63</v>
      </c>
      <c r="B18" s="1">
        <v>44537</v>
      </c>
      <c r="C18">
        <v>7</v>
      </c>
      <c r="D18" t="s">
        <v>20</v>
      </c>
      <c r="E18">
        <v>2021</v>
      </c>
      <c r="F18">
        <v>30</v>
      </c>
      <c r="G18" s="8" t="s">
        <v>35</v>
      </c>
      <c r="H18" t="s">
        <v>28</v>
      </c>
      <c r="I18" t="s">
        <v>23</v>
      </c>
      <c r="J18" t="s">
        <v>24</v>
      </c>
      <c r="K18" t="s">
        <v>25</v>
      </c>
      <c r="L18" t="s">
        <v>26</v>
      </c>
      <c r="M18" s="5" t="s">
        <v>64</v>
      </c>
      <c r="N18">
        <v>4</v>
      </c>
      <c r="O18" s="2">
        <v>420</v>
      </c>
      <c r="P18" s="2">
        <v>769</v>
      </c>
      <c r="Q18" s="2">
        <v>1396</v>
      </c>
      <c r="R18" s="2">
        <f t="shared" si="0"/>
        <v>1680</v>
      </c>
      <c r="S18" s="2">
        <f t="shared" si="1"/>
        <v>3076</v>
      </c>
    </row>
    <row r="19" spans="1:19" x14ac:dyDescent="0.25">
      <c r="A19" s="3" t="s">
        <v>65</v>
      </c>
      <c r="B19" s="1">
        <v>44537</v>
      </c>
      <c r="C19">
        <v>7</v>
      </c>
      <c r="D19" t="s">
        <v>20</v>
      </c>
      <c r="E19">
        <v>2021</v>
      </c>
      <c r="F19">
        <v>38</v>
      </c>
      <c r="G19" s="8" t="s">
        <v>21</v>
      </c>
      <c r="H19" t="s">
        <v>28</v>
      </c>
      <c r="I19" t="s">
        <v>23</v>
      </c>
      <c r="J19" t="s">
        <v>24</v>
      </c>
      <c r="K19" t="s">
        <v>25</v>
      </c>
      <c r="L19" t="s">
        <v>26</v>
      </c>
      <c r="M19" s="5" t="s">
        <v>31</v>
      </c>
      <c r="N19">
        <v>2</v>
      </c>
      <c r="O19" s="2">
        <v>1266</v>
      </c>
      <c r="P19" s="2">
        <v>2320</v>
      </c>
      <c r="Q19" s="2">
        <v>2108</v>
      </c>
      <c r="R19" s="2">
        <f t="shared" si="0"/>
        <v>2532</v>
      </c>
      <c r="S19" s="2">
        <f t="shared" si="1"/>
        <v>4640</v>
      </c>
    </row>
    <row r="20" spans="1:19" x14ac:dyDescent="0.25">
      <c r="A20" s="3" t="s">
        <v>66</v>
      </c>
      <c r="B20" s="1">
        <v>44538</v>
      </c>
      <c r="C20">
        <v>8</v>
      </c>
      <c r="D20" t="s">
        <v>20</v>
      </c>
      <c r="E20">
        <v>2021</v>
      </c>
      <c r="F20">
        <v>19</v>
      </c>
      <c r="G20" s="8" t="s">
        <v>42</v>
      </c>
      <c r="H20" t="s">
        <v>22</v>
      </c>
      <c r="I20" t="s">
        <v>36</v>
      </c>
      <c r="J20" t="s">
        <v>37</v>
      </c>
      <c r="K20" t="s">
        <v>25</v>
      </c>
      <c r="L20" t="s">
        <v>26</v>
      </c>
      <c r="M20" s="5" t="s">
        <v>67</v>
      </c>
      <c r="N20">
        <v>4</v>
      </c>
      <c r="O20" s="2">
        <v>308</v>
      </c>
      <c r="P20" s="2">
        <v>565</v>
      </c>
      <c r="Q20" s="2">
        <v>1028</v>
      </c>
      <c r="R20" s="2">
        <f t="shared" si="0"/>
        <v>1232</v>
      </c>
      <c r="S20" s="2">
        <f t="shared" si="1"/>
        <v>2260</v>
      </c>
    </row>
    <row r="21" spans="1:19" x14ac:dyDescent="0.25">
      <c r="A21" s="3" t="s">
        <v>68</v>
      </c>
      <c r="B21" s="1">
        <v>44538</v>
      </c>
      <c r="C21">
        <v>8</v>
      </c>
      <c r="D21" t="s">
        <v>20</v>
      </c>
      <c r="E21">
        <v>2021</v>
      </c>
      <c r="F21">
        <v>30</v>
      </c>
      <c r="G21" s="8" t="s">
        <v>35</v>
      </c>
      <c r="H21" t="s">
        <v>22</v>
      </c>
      <c r="I21" t="s">
        <v>58</v>
      </c>
      <c r="J21" t="s">
        <v>59</v>
      </c>
      <c r="K21" t="s">
        <v>25</v>
      </c>
      <c r="L21" t="s">
        <v>26</v>
      </c>
      <c r="M21" s="5" t="s">
        <v>54</v>
      </c>
      <c r="N21">
        <v>4</v>
      </c>
      <c r="O21" s="2">
        <v>1266</v>
      </c>
      <c r="P21" s="2">
        <v>2320</v>
      </c>
      <c r="Q21" s="2">
        <v>4216</v>
      </c>
      <c r="R21" s="2">
        <f t="shared" si="0"/>
        <v>5064</v>
      </c>
      <c r="S21" s="2">
        <f t="shared" si="1"/>
        <v>9280</v>
      </c>
    </row>
    <row r="22" spans="1:19" x14ac:dyDescent="0.25">
      <c r="A22" s="3" t="s">
        <v>69</v>
      </c>
      <c r="B22" s="1">
        <v>44538</v>
      </c>
      <c r="C22">
        <v>8</v>
      </c>
      <c r="D22" t="s">
        <v>20</v>
      </c>
      <c r="E22">
        <v>2021</v>
      </c>
      <c r="F22">
        <v>39</v>
      </c>
      <c r="G22" s="8" t="s">
        <v>21</v>
      </c>
      <c r="H22" t="s">
        <v>22</v>
      </c>
      <c r="I22" t="s">
        <v>23</v>
      </c>
      <c r="J22" t="s">
        <v>70</v>
      </c>
      <c r="K22" t="s">
        <v>25</v>
      </c>
      <c r="L22" t="s">
        <v>26</v>
      </c>
      <c r="M22" s="5" t="s">
        <v>72</v>
      </c>
      <c r="N22">
        <v>2</v>
      </c>
      <c r="O22" s="2">
        <v>1252</v>
      </c>
      <c r="P22" s="2">
        <v>2295</v>
      </c>
      <c r="Q22" s="2">
        <v>2086</v>
      </c>
      <c r="R22" s="2">
        <f t="shared" si="0"/>
        <v>2504</v>
      </c>
      <c r="S22" s="2">
        <f t="shared" si="1"/>
        <v>4590</v>
      </c>
    </row>
    <row r="23" spans="1:19" x14ac:dyDescent="0.25">
      <c r="A23" s="3" t="s">
        <v>71</v>
      </c>
      <c r="B23" s="1">
        <v>44538</v>
      </c>
      <c r="C23">
        <v>8</v>
      </c>
      <c r="D23" t="s">
        <v>20</v>
      </c>
      <c r="E23">
        <v>2021</v>
      </c>
      <c r="F23">
        <v>35</v>
      </c>
      <c r="G23" s="8" t="s">
        <v>21</v>
      </c>
      <c r="H23" t="s">
        <v>22</v>
      </c>
      <c r="I23" t="s">
        <v>23</v>
      </c>
      <c r="J23" t="s">
        <v>24</v>
      </c>
      <c r="K23" t="s">
        <v>25</v>
      </c>
      <c r="L23" t="s">
        <v>26</v>
      </c>
      <c r="M23" s="5" t="s">
        <v>72</v>
      </c>
      <c r="N23">
        <v>1</v>
      </c>
      <c r="O23" s="2">
        <v>295</v>
      </c>
      <c r="P23" s="2">
        <v>540</v>
      </c>
      <c r="Q23" s="2">
        <v>245</v>
      </c>
      <c r="R23" s="2">
        <f t="shared" si="0"/>
        <v>295</v>
      </c>
      <c r="S23" s="2">
        <f t="shared" si="1"/>
        <v>540</v>
      </c>
    </row>
    <row r="24" spans="1:19" x14ac:dyDescent="0.25">
      <c r="A24" s="3" t="s">
        <v>73</v>
      </c>
      <c r="B24" s="1">
        <v>44539</v>
      </c>
      <c r="C24">
        <v>9</v>
      </c>
      <c r="D24" t="s">
        <v>20</v>
      </c>
      <c r="E24">
        <v>2021</v>
      </c>
      <c r="F24">
        <v>33</v>
      </c>
      <c r="G24" s="8" t="s">
        <v>35</v>
      </c>
      <c r="H24" t="s">
        <v>22</v>
      </c>
      <c r="I24" t="s">
        <v>36</v>
      </c>
      <c r="J24" t="s">
        <v>74</v>
      </c>
      <c r="K24" t="s">
        <v>25</v>
      </c>
      <c r="L24" t="s">
        <v>26</v>
      </c>
      <c r="M24" s="5" t="s">
        <v>75</v>
      </c>
      <c r="N24">
        <v>2</v>
      </c>
      <c r="O24" s="2">
        <v>1898</v>
      </c>
      <c r="P24" s="2">
        <v>3375</v>
      </c>
      <c r="Q24" s="2">
        <v>2954</v>
      </c>
      <c r="R24" s="2">
        <f t="shared" si="0"/>
        <v>3796</v>
      </c>
      <c r="S24" s="2">
        <f t="shared" si="1"/>
        <v>6750</v>
      </c>
    </row>
    <row r="25" spans="1:19" x14ac:dyDescent="0.25">
      <c r="A25" s="3" t="s">
        <v>76</v>
      </c>
      <c r="B25" s="1">
        <v>44539</v>
      </c>
      <c r="C25">
        <v>9</v>
      </c>
      <c r="D25" t="s">
        <v>20</v>
      </c>
      <c r="E25">
        <v>2021</v>
      </c>
      <c r="F25">
        <v>41</v>
      </c>
      <c r="G25" s="8" t="s">
        <v>21</v>
      </c>
      <c r="H25" t="s">
        <v>22</v>
      </c>
      <c r="I25" t="s">
        <v>50</v>
      </c>
      <c r="J25" t="s">
        <v>77</v>
      </c>
      <c r="K25" t="s">
        <v>25</v>
      </c>
      <c r="L25" t="s">
        <v>26</v>
      </c>
      <c r="M25" s="5" t="s">
        <v>31</v>
      </c>
      <c r="N25">
        <v>1</v>
      </c>
      <c r="O25" s="2">
        <v>1266</v>
      </c>
      <c r="P25" s="2">
        <v>2320</v>
      </c>
      <c r="Q25" s="2">
        <v>1054</v>
      </c>
      <c r="R25" s="2">
        <f t="shared" si="0"/>
        <v>1266</v>
      </c>
      <c r="S25" s="2">
        <f t="shared" si="1"/>
        <v>2320</v>
      </c>
    </row>
    <row r="26" spans="1:19" x14ac:dyDescent="0.25">
      <c r="A26" s="3" t="s">
        <v>78</v>
      </c>
      <c r="B26" s="1">
        <v>44540</v>
      </c>
      <c r="C26">
        <v>10</v>
      </c>
      <c r="D26" t="s">
        <v>20</v>
      </c>
      <c r="E26">
        <v>2021</v>
      </c>
      <c r="F26">
        <v>34</v>
      </c>
      <c r="G26" s="8" t="s">
        <v>35</v>
      </c>
      <c r="H26" t="s">
        <v>22</v>
      </c>
      <c r="I26" t="s">
        <v>23</v>
      </c>
      <c r="J26" t="s">
        <v>24</v>
      </c>
      <c r="K26" t="s">
        <v>25</v>
      </c>
      <c r="L26" t="s">
        <v>26</v>
      </c>
      <c r="M26" s="5" t="s">
        <v>61</v>
      </c>
      <c r="N26">
        <v>2</v>
      </c>
      <c r="O26" s="2">
        <v>1252</v>
      </c>
      <c r="P26" s="2">
        <v>2295</v>
      </c>
      <c r="Q26" s="2">
        <v>2086</v>
      </c>
      <c r="R26" s="2">
        <f t="shared" si="0"/>
        <v>2504</v>
      </c>
      <c r="S26" s="2">
        <f t="shared" si="1"/>
        <v>4590</v>
      </c>
    </row>
    <row r="27" spans="1:19" x14ac:dyDescent="0.25">
      <c r="A27" s="3" t="s">
        <v>79</v>
      </c>
      <c r="B27" s="1">
        <v>44540</v>
      </c>
      <c r="C27">
        <v>10</v>
      </c>
      <c r="D27" t="s">
        <v>20</v>
      </c>
      <c r="E27">
        <v>2021</v>
      </c>
      <c r="F27">
        <v>40</v>
      </c>
      <c r="G27" s="8" t="s">
        <v>21</v>
      </c>
      <c r="H27" t="s">
        <v>28</v>
      </c>
      <c r="I27" t="s">
        <v>36</v>
      </c>
      <c r="J27" t="s">
        <v>37</v>
      </c>
      <c r="K27" t="s">
        <v>25</v>
      </c>
      <c r="L27" t="s">
        <v>26</v>
      </c>
      <c r="M27" s="5" t="s">
        <v>61</v>
      </c>
      <c r="N27">
        <v>2</v>
      </c>
      <c r="O27" s="2">
        <v>1252</v>
      </c>
      <c r="P27" s="2">
        <v>2295</v>
      </c>
      <c r="Q27" s="2">
        <v>2086</v>
      </c>
      <c r="R27" s="2">
        <f t="shared" si="0"/>
        <v>2504</v>
      </c>
      <c r="S27" s="2">
        <f t="shared" si="1"/>
        <v>4590</v>
      </c>
    </row>
    <row r="28" spans="1:19" x14ac:dyDescent="0.25">
      <c r="A28" s="3" t="s">
        <v>80</v>
      </c>
      <c r="B28" s="1">
        <v>44540</v>
      </c>
      <c r="C28">
        <v>10</v>
      </c>
      <c r="D28" t="s">
        <v>20</v>
      </c>
      <c r="E28">
        <v>2021</v>
      </c>
      <c r="F28">
        <v>26</v>
      </c>
      <c r="G28" s="8" t="s">
        <v>35</v>
      </c>
      <c r="H28" t="s">
        <v>28</v>
      </c>
      <c r="I28" t="s">
        <v>29</v>
      </c>
      <c r="J28" t="s">
        <v>30</v>
      </c>
      <c r="K28" t="s">
        <v>25</v>
      </c>
      <c r="L28" t="s">
        <v>26</v>
      </c>
      <c r="M28" s="5" t="s">
        <v>43</v>
      </c>
      <c r="N28">
        <v>1</v>
      </c>
      <c r="O28" s="2">
        <v>1252</v>
      </c>
      <c r="P28" s="2">
        <v>2295</v>
      </c>
      <c r="Q28" s="2">
        <v>1043</v>
      </c>
      <c r="R28" s="2">
        <f t="shared" si="0"/>
        <v>1252</v>
      </c>
      <c r="S28" s="2">
        <f t="shared" si="1"/>
        <v>2295</v>
      </c>
    </row>
    <row r="29" spans="1:19" x14ac:dyDescent="0.25">
      <c r="A29" s="3" t="s">
        <v>81</v>
      </c>
      <c r="B29" s="1">
        <v>44540</v>
      </c>
      <c r="C29">
        <v>10</v>
      </c>
      <c r="D29" t="s">
        <v>20</v>
      </c>
      <c r="E29">
        <v>2021</v>
      </c>
      <c r="F29">
        <v>34</v>
      </c>
      <c r="G29" s="8" t="s">
        <v>35</v>
      </c>
      <c r="H29" t="s">
        <v>28</v>
      </c>
      <c r="I29" t="s">
        <v>23</v>
      </c>
      <c r="J29" t="s">
        <v>24</v>
      </c>
      <c r="K29" t="s">
        <v>25</v>
      </c>
      <c r="L29" t="s">
        <v>26</v>
      </c>
      <c r="M29" s="5" t="s">
        <v>82</v>
      </c>
      <c r="N29">
        <v>1</v>
      </c>
      <c r="O29" s="2">
        <v>295</v>
      </c>
      <c r="P29" s="2">
        <v>540</v>
      </c>
      <c r="Q29" s="2">
        <v>245</v>
      </c>
      <c r="R29" s="2">
        <f t="shared" si="0"/>
        <v>295</v>
      </c>
      <c r="S29" s="2">
        <f t="shared" si="1"/>
        <v>540</v>
      </c>
    </row>
    <row r="30" spans="1:19" x14ac:dyDescent="0.25">
      <c r="A30" s="3" t="s">
        <v>83</v>
      </c>
      <c r="B30" s="1">
        <v>44540</v>
      </c>
      <c r="C30">
        <v>10</v>
      </c>
      <c r="D30" t="s">
        <v>20</v>
      </c>
      <c r="E30">
        <v>2021</v>
      </c>
      <c r="F30">
        <v>34</v>
      </c>
      <c r="G30" s="8" t="s">
        <v>35</v>
      </c>
      <c r="H30" t="s">
        <v>22</v>
      </c>
      <c r="I30" t="s">
        <v>23</v>
      </c>
      <c r="J30" t="s">
        <v>46</v>
      </c>
      <c r="K30" t="s">
        <v>25</v>
      </c>
      <c r="L30" t="s">
        <v>26</v>
      </c>
      <c r="M30" s="5" t="s">
        <v>84</v>
      </c>
      <c r="N30">
        <v>1</v>
      </c>
      <c r="O30" s="2">
        <v>1912</v>
      </c>
      <c r="P30" s="2">
        <v>3400</v>
      </c>
      <c r="Q30" s="2">
        <v>1488</v>
      </c>
      <c r="R30" s="2">
        <f t="shared" si="0"/>
        <v>1912</v>
      </c>
      <c r="S30" s="2">
        <f t="shared" si="1"/>
        <v>3400</v>
      </c>
    </row>
    <row r="31" spans="1:19" x14ac:dyDescent="0.25">
      <c r="A31" s="3" t="s">
        <v>85</v>
      </c>
      <c r="B31" s="1">
        <v>44540</v>
      </c>
      <c r="C31">
        <v>10</v>
      </c>
      <c r="D31" t="s">
        <v>20</v>
      </c>
      <c r="E31">
        <v>2021</v>
      </c>
      <c r="F31">
        <v>38</v>
      </c>
      <c r="G31" s="8" t="s">
        <v>21</v>
      </c>
      <c r="H31" t="s">
        <v>28</v>
      </c>
      <c r="I31" t="s">
        <v>36</v>
      </c>
      <c r="J31" t="s">
        <v>37</v>
      </c>
      <c r="K31" t="s">
        <v>25</v>
      </c>
      <c r="L31" t="s">
        <v>26</v>
      </c>
      <c r="M31" s="5" t="s">
        <v>43</v>
      </c>
      <c r="N31">
        <v>1</v>
      </c>
      <c r="O31" s="2">
        <v>1252</v>
      </c>
      <c r="P31" s="2">
        <v>2295</v>
      </c>
      <c r="Q31" s="2">
        <v>1043</v>
      </c>
      <c r="R31" s="2">
        <f t="shared" si="0"/>
        <v>1252</v>
      </c>
      <c r="S31" s="2">
        <f t="shared" si="1"/>
        <v>2295</v>
      </c>
    </row>
    <row r="32" spans="1:19" x14ac:dyDescent="0.25">
      <c r="A32" s="3" t="s">
        <v>86</v>
      </c>
      <c r="B32" s="1">
        <v>44541</v>
      </c>
      <c r="C32">
        <v>11</v>
      </c>
      <c r="D32" t="s">
        <v>20</v>
      </c>
      <c r="E32">
        <v>2021</v>
      </c>
      <c r="F32">
        <v>24</v>
      </c>
      <c r="G32" s="8" t="s">
        <v>42</v>
      </c>
      <c r="H32" t="s">
        <v>22</v>
      </c>
      <c r="I32" t="s">
        <v>87</v>
      </c>
      <c r="J32" t="s">
        <v>88</v>
      </c>
      <c r="K32" t="s">
        <v>25</v>
      </c>
      <c r="L32" t="s">
        <v>26</v>
      </c>
      <c r="M32" s="5" t="s">
        <v>43</v>
      </c>
      <c r="N32">
        <v>3</v>
      </c>
      <c r="O32" s="2">
        <v>1252</v>
      </c>
      <c r="P32" s="2">
        <v>2295</v>
      </c>
      <c r="Q32" s="2">
        <v>3129</v>
      </c>
      <c r="R32" s="2">
        <f t="shared" si="0"/>
        <v>3756</v>
      </c>
      <c r="S32" s="2">
        <f t="shared" si="1"/>
        <v>6885</v>
      </c>
    </row>
    <row r="33" spans="1:19" x14ac:dyDescent="0.25">
      <c r="A33" s="3" t="s">
        <v>89</v>
      </c>
      <c r="B33" s="1">
        <v>44541</v>
      </c>
      <c r="C33">
        <v>11</v>
      </c>
      <c r="D33" t="s">
        <v>20</v>
      </c>
      <c r="E33">
        <v>2021</v>
      </c>
      <c r="F33">
        <v>41</v>
      </c>
      <c r="G33" s="8" t="s">
        <v>21</v>
      </c>
      <c r="H33" t="s">
        <v>22</v>
      </c>
      <c r="I33" t="s">
        <v>36</v>
      </c>
      <c r="J33" t="s">
        <v>37</v>
      </c>
      <c r="K33" t="s">
        <v>25</v>
      </c>
      <c r="L33" t="s">
        <v>26</v>
      </c>
      <c r="M33" s="5" t="s">
        <v>64</v>
      </c>
      <c r="N33">
        <v>2</v>
      </c>
      <c r="O33" s="2">
        <v>420</v>
      </c>
      <c r="P33" s="2">
        <v>769</v>
      </c>
      <c r="Q33" s="2">
        <v>698</v>
      </c>
      <c r="R33" s="2">
        <f t="shared" si="0"/>
        <v>840</v>
      </c>
      <c r="S33" s="2">
        <f t="shared" si="1"/>
        <v>1538</v>
      </c>
    </row>
    <row r="34" spans="1:19" x14ac:dyDescent="0.25">
      <c r="A34" s="3" t="s">
        <v>90</v>
      </c>
      <c r="B34" s="1">
        <v>44541</v>
      </c>
      <c r="C34">
        <v>11</v>
      </c>
      <c r="D34" t="s">
        <v>20</v>
      </c>
      <c r="E34">
        <v>2021</v>
      </c>
      <c r="F34">
        <v>27</v>
      </c>
      <c r="G34" s="8" t="s">
        <v>35</v>
      </c>
      <c r="H34" t="s">
        <v>28</v>
      </c>
      <c r="I34" t="s">
        <v>58</v>
      </c>
      <c r="J34" t="s">
        <v>59</v>
      </c>
      <c r="K34" t="s">
        <v>25</v>
      </c>
      <c r="L34" t="s">
        <v>26</v>
      </c>
      <c r="M34" s="5" t="s">
        <v>27</v>
      </c>
      <c r="N34">
        <v>1</v>
      </c>
      <c r="O34" s="2">
        <v>1252</v>
      </c>
      <c r="P34" s="2">
        <v>2295</v>
      </c>
      <c r="Q34" s="2">
        <v>1043</v>
      </c>
      <c r="R34" s="2">
        <f t="shared" si="0"/>
        <v>1252</v>
      </c>
      <c r="S34" s="2">
        <f t="shared" si="1"/>
        <v>2295</v>
      </c>
    </row>
    <row r="35" spans="1:19" x14ac:dyDescent="0.25">
      <c r="A35" s="3" t="s">
        <v>91</v>
      </c>
      <c r="B35" s="1">
        <v>44541</v>
      </c>
      <c r="C35">
        <v>11</v>
      </c>
      <c r="D35" t="s">
        <v>20</v>
      </c>
      <c r="E35">
        <v>2021</v>
      </c>
      <c r="F35">
        <v>37</v>
      </c>
      <c r="G35" s="8" t="s">
        <v>21</v>
      </c>
      <c r="H35" t="s">
        <v>28</v>
      </c>
      <c r="I35" t="s">
        <v>23</v>
      </c>
      <c r="J35" t="s">
        <v>24</v>
      </c>
      <c r="K35" t="s">
        <v>25</v>
      </c>
      <c r="L35" t="s">
        <v>26</v>
      </c>
      <c r="M35" s="5" t="s">
        <v>33</v>
      </c>
      <c r="N35">
        <v>1</v>
      </c>
      <c r="O35" s="2">
        <v>420</v>
      </c>
      <c r="P35" s="2">
        <v>769</v>
      </c>
      <c r="Q35" s="2">
        <v>349</v>
      </c>
      <c r="R35" s="2">
        <f t="shared" si="0"/>
        <v>420</v>
      </c>
      <c r="S35" s="2">
        <f t="shared" si="1"/>
        <v>769</v>
      </c>
    </row>
    <row r="36" spans="1:19" x14ac:dyDescent="0.25">
      <c r="A36" s="3" t="s">
        <v>92</v>
      </c>
      <c r="B36" s="1">
        <v>44541</v>
      </c>
      <c r="C36">
        <v>11</v>
      </c>
      <c r="D36" t="s">
        <v>20</v>
      </c>
      <c r="E36">
        <v>2021</v>
      </c>
      <c r="F36">
        <v>38</v>
      </c>
      <c r="G36" s="8" t="s">
        <v>21</v>
      </c>
      <c r="H36" t="s">
        <v>22</v>
      </c>
      <c r="I36" t="s">
        <v>23</v>
      </c>
      <c r="J36" t="s">
        <v>24</v>
      </c>
      <c r="K36" t="s">
        <v>25</v>
      </c>
      <c r="L36" t="s">
        <v>26</v>
      </c>
      <c r="M36" s="5" t="s">
        <v>54</v>
      </c>
      <c r="N36">
        <v>1</v>
      </c>
      <c r="O36" s="2">
        <v>1266</v>
      </c>
      <c r="P36" s="2">
        <v>2320</v>
      </c>
      <c r="Q36" s="2">
        <v>1054</v>
      </c>
      <c r="R36" s="2">
        <f t="shared" si="0"/>
        <v>1266</v>
      </c>
      <c r="S36" s="2">
        <f t="shared" si="1"/>
        <v>2320</v>
      </c>
    </row>
    <row r="37" spans="1:19" x14ac:dyDescent="0.25">
      <c r="A37" s="3" t="s">
        <v>93</v>
      </c>
      <c r="B37" s="1">
        <v>44542</v>
      </c>
      <c r="C37">
        <v>12</v>
      </c>
      <c r="D37" t="s">
        <v>20</v>
      </c>
      <c r="E37">
        <v>2021</v>
      </c>
      <c r="F37">
        <v>36</v>
      </c>
      <c r="G37" s="8" t="s">
        <v>21</v>
      </c>
      <c r="H37" t="s">
        <v>22</v>
      </c>
      <c r="I37" t="s">
        <v>36</v>
      </c>
      <c r="J37" t="s">
        <v>37</v>
      </c>
      <c r="K37" t="s">
        <v>25</v>
      </c>
      <c r="L37" t="s">
        <v>26</v>
      </c>
      <c r="M37" s="5" t="s">
        <v>31</v>
      </c>
      <c r="N37">
        <v>4</v>
      </c>
      <c r="O37" s="2">
        <v>1266</v>
      </c>
      <c r="P37" s="2">
        <v>2320</v>
      </c>
      <c r="Q37" s="2">
        <v>4216</v>
      </c>
      <c r="R37" s="2">
        <f t="shared" si="0"/>
        <v>5064</v>
      </c>
      <c r="S37" s="2">
        <f t="shared" si="1"/>
        <v>9280</v>
      </c>
    </row>
    <row r="38" spans="1:19" x14ac:dyDescent="0.25">
      <c r="A38" s="3" t="s">
        <v>94</v>
      </c>
      <c r="B38" s="1">
        <v>44542</v>
      </c>
      <c r="C38">
        <v>12</v>
      </c>
      <c r="D38" t="s">
        <v>20</v>
      </c>
      <c r="E38">
        <v>2021</v>
      </c>
      <c r="F38">
        <v>37</v>
      </c>
      <c r="G38" s="8" t="s">
        <v>21</v>
      </c>
      <c r="H38" t="s">
        <v>28</v>
      </c>
      <c r="I38" t="s">
        <v>23</v>
      </c>
      <c r="J38" t="s">
        <v>24</v>
      </c>
      <c r="K38" t="s">
        <v>25</v>
      </c>
      <c r="L38" t="s">
        <v>26</v>
      </c>
      <c r="M38" s="5" t="s">
        <v>33</v>
      </c>
      <c r="N38">
        <v>4</v>
      </c>
      <c r="O38" s="2">
        <v>420</v>
      </c>
      <c r="P38" s="2">
        <v>769</v>
      </c>
      <c r="Q38" s="2">
        <v>1396</v>
      </c>
      <c r="R38" s="2">
        <f t="shared" si="0"/>
        <v>1680</v>
      </c>
      <c r="S38" s="2">
        <f t="shared" si="1"/>
        <v>3076</v>
      </c>
    </row>
    <row r="39" spans="1:19" x14ac:dyDescent="0.25">
      <c r="A39" s="3" t="s">
        <v>95</v>
      </c>
      <c r="B39" s="1">
        <v>44542</v>
      </c>
      <c r="C39">
        <v>12</v>
      </c>
      <c r="D39" t="s">
        <v>20</v>
      </c>
      <c r="E39">
        <v>2021</v>
      </c>
      <c r="F39">
        <v>34</v>
      </c>
      <c r="G39" s="8" t="s">
        <v>35</v>
      </c>
      <c r="H39" t="s">
        <v>28</v>
      </c>
      <c r="I39" t="s">
        <v>36</v>
      </c>
      <c r="J39" t="s">
        <v>37</v>
      </c>
      <c r="K39" t="s">
        <v>25</v>
      </c>
      <c r="L39" t="s">
        <v>26</v>
      </c>
      <c r="M39" s="5" t="s">
        <v>43</v>
      </c>
      <c r="N39">
        <v>2</v>
      </c>
      <c r="O39" s="2">
        <v>1252</v>
      </c>
      <c r="P39" s="2">
        <v>2295</v>
      </c>
      <c r="Q39" s="2">
        <v>2086</v>
      </c>
      <c r="R39" s="2">
        <f t="shared" si="0"/>
        <v>2504</v>
      </c>
      <c r="S39" s="2">
        <f t="shared" si="1"/>
        <v>4590</v>
      </c>
    </row>
    <row r="40" spans="1:19" x14ac:dyDescent="0.25">
      <c r="A40" s="3" t="s">
        <v>96</v>
      </c>
      <c r="B40" s="1">
        <v>44542</v>
      </c>
      <c r="C40">
        <v>12</v>
      </c>
      <c r="D40" t="s">
        <v>20</v>
      </c>
      <c r="E40">
        <v>2021</v>
      </c>
      <c r="F40">
        <v>35</v>
      </c>
      <c r="G40" s="8" t="s">
        <v>21</v>
      </c>
      <c r="H40" t="s">
        <v>22</v>
      </c>
      <c r="I40" t="s">
        <v>36</v>
      </c>
      <c r="J40" t="s">
        <v>74</v>
      </c>
      <c r="K40" t="s">
        <v>25</v>
      </c>
      <c r="L40" t="s">
        <v>26</v>
      </c>
      <c r="M40" s="5" t="s">
        <v>31</v>
      </c>
      <c r="N40">
        <v>1</v>
      </c>
      <c r="O40" s="2">
        <v>1266</v>
      </c>
      <c r="P40" s="2">
        <v>2320</v>
      </c>
      <c r="Q40" s="2">
        <v>1054</v>
      </c>
      <c r="R40" s="2">
        <f t="shared" si="0"/>
        <v>1266</v>
      </c>
      <c r="S40" s="2">
        <f t="shared" si="1"/>
        <v>2320</v>
      </c>
    </row>
    <row r="41" spans="1:19" x14ac:dyDescent="0.25">
      <c r="A41" s="3" t="s">
        <v>97</v>
      </c>
      <c r="B41" s="1">
        <v>44542</v>
      </c>
      <c r="C41">
        <v>12</v>
      </c>
      <c r="D41" t="s">
        <v>20</v>
      </c>
      <c r="E41">
        <v>2021</v>
      </c>
      <c r="F41">
        <v>38</v>
      </c>
      <c r="G41" s="8" t="s">
        <v>21</v>
      </c>
      <c r="H41" t="s">
        <v>22</v>
      </c>
      <c r="I41" t="s">
        <v>23</v>
      </c>
      <c r="J41" t="s">
        <v>46</v>
      </c>
      <c r="K41" t="s">
        <v>25</v>
      </c>
      <c r="L41" t="s">
        <v>26</v>
      </c>
      <c r="M41" s="5" t="s">
        <v>31</v>
      </c>
      <c r="N41">
        <v>1</v>
      </c>
      <c r="O41" s="2">
        <v>1266</v>
      </c>
      <c r="P41" s="2">
        <v>2320</v>
      </c>
      <c r="Q41" s="2">
        <v>1054</v>
      </c>
      <c r="R41" s="2">
        <f t="shared" si="0"/>
        <v>1266</v>
      </c>
      <c r="S41" s="2">
        <f t="shared" si="1"/>
        <v>2320</v>
      </c>
    </row>
    <row r="42" spans="1:19" x14ac:dyDescent="0.25">
      <c r="A42" s="3" t="s">
        <v>98</v>
      </c>
      <c r="B42" s="1">
        <v>44543</v>
      </c>
      <c r="C42">
        <v>13</v>
      </c>
      <c r="D42" t="s">
        <v>20</v>
      </c>
      <c r="E42">
        <v>2021</v>
      </c>
      <c r="F42">
        <v>32</v>
      </c>
      <c r="G42" s="8" t="s">
        <v>35</v>
      </c>
      <c r="H42" t="s">
        <v>22</v>
      </c>
      <c r="I42" t="s">
        <v>36</v>
      </c>
      <c r="J42" t="s">
        <v>53</v>
      </c>
      <c r="K42" t="s">
        <v>25</v>
      </c>
      <c r="L42" t="s">
        <v>26</v>
      </c>
      <c r="M42" s="5" t="s">
        <v>31</v>
      </c>
      <c r="N42">
        <v>3</v>
      </c>
      <c r="O42" s="2">
        <v>1266</v>
      </c>
      <c r="P42" s="2">
        <v>2320</v>
      </c>
      <c r="Q42" s="2">
        <v>3162</v>
      </c>
      <c r="R42" s="2">
        <f t="shared" si="0"/>
        <v>3798</v>
      </c>
      <c r="S42" s="2">
        <f t="shared" si="1"/>
        <v>6960</v>
      </c>
    </row>
    <row r="43" spans="1:19" x14ac:dyDescent="0.25">
      <c r="A43" s="3" t="s">
        <v>99</v>
      </c>
      <c r="B43" s="1">
        <v>44543</v>
      </c>
      <c r="C43">
        <v>13</v>
      </c>
      <c r="D43" t="s">
        <v>20</v>
      </c>
      <c r="E43">
        <v>2021</v>
      </c>
      <c r="F43">
        <v>40</v>
      </c>
      <c r="G43" s="8" t="s">
        <v>21</v>
      </c>
      <c r="H43" t="s">
        <v>22</v>
      </c>
      <c r="I43" t="s">
        <v>23</v>
      </c>
      <c r="J43" t="s">
        <v>24</v>
      </c>
      <c r="K43" t="s">
        <v>25</v>
      </c>
      <c r="L43" t="s">
        <v>26</v>
      </c>
      <c r="M43" s="5" t="s">
        <v>100</v>
      </c>
      <c r="N43">
        <v>1</v>
      </c>
      <c r="O43" s="2">
        <v>308</v>
      </c>
      <c r="P43" s="2">
        <v>565</v>
      </c>
      <c r="Q43" s="2">
        <v>257</v>
      </c>
      <c r="R43" s="2">
        <f t="shared" si="0"/>
        <v>308</v>
      </c>
      <c r="S43" s="2">
        <f t="shared" si="1"/>
        <v>565</v>
      </c>
    </row>
    <row r="44" spans="1:19" x14ac:dyDescent="0.25">
      <c r="A44" s="3" t="s">
        <v>101</v>
      </c>
      <c r="B44" s="1">
        <v>44543</v>
      </c>
      <c r="C44">
        <v>13</v>
      </c>
      <c r="D44" t="s">
        <v>20</v>
      </c>
      <c r="E44">
        <v>2021</v>
      </c>
      <c r="F44">
        <v>44</v>
      </c>
      <c r="G44" s="8" t="s">
        <v>21</v>
      </c>
      <c r="H44" t="s">
        <v>22</v>
      </c>
      <c r="I44" t="s">
        <v>29</v>
      </c>
      <c r="J44" t="s">
        <v>30</v>
      </c>
      <c r="K44" t="s">
        <v>25</v>
      </c>
      <c r="L44" t="s">
        <v>26</v>
      </c>
      <c r="M44" s="5" t="s">
        <v>43</v>
      </c>
      <c r="N44">
        <v>1</v>
      </c>
      <c r="O44" s="2">
        <v>1252</v>
      </c>
      <c r="P44" s="2">
        <v>2295</v>
      </c>
      <c r="Q44" s="2">
        <v>1043</v>
      </c>
      <c r="R44" s="2">
        <f t="shared" si="0"/>
        <v>1252</v>
      </c>
      <c r="S44" s="2">
        <f t="shared" si="1"/>
        <v>2295</v>
      </c>
    </row>
    <row r="45" spans="1:19" x14ac:dyDescent="0.25">
      <c r="A45" s="3" t="s">
        <v>102</v>
      </c>
      <c r="B45" s="1">
        <v>44543</v>
      </c>
      <c r="C45">
        <v>13</v>
      </c>
      <c r="D45" t="s">
        <v>20</v>
      </c>
      <c r="E45">
        <v>2021</v>
      </c>
      <c r="F45">
        <v>49</v>
      </c>
      <c r="G45" s="8" t="s">
        <v>21</v>
      </c>
      <c r="H45" t="s">
        <v>28</v>
      </c>
      <c r="I45" t="s">
        <v>29</v>
      </c>
      <c r="J45" t="s">
        <v>30</v>
      </c>
      <c r="K45" t="s">
        <v>25</v>
      </c>
      <c r="L45" t="s">
        <v>26</v>
      </c>
      <c r="M45" s="5" t="s">
        <v>43</v>
      </c>
      <c r="N45">
        <v>1</v>
      </c>
      <c r="O45" s="2">
        <v>1252</v>
      </c>
      <c r="P45" s="2">
        <v>2295</v>
      </c>
      <c r="Q45" s="2">
        <v>1043</v>
      </c>
      <c r="R45" s="2">
        <f t="shared" si="0"/>
        <v>1252</v>
      </c>
      <c r="S45" s="2">
        <f t="shared" si="1"/>
        <v>2295</v>
      </c>
    </row>
    <row r="46" spans="1:19" x14ac:dyDescent="0.25">
      <c r="A46" s="3" t="s">
        <v>103</v>
      </c>
      <c r="B46" s="1">
        <v>44544</v>
      </c>
      <c r="C46">
        <v>14</v>
      </c>
      <c r="D46" t="s">
        <v>20</v>
      </c>
      <c r="E46">
        <v>2021</v>
      </c>
      <c r="F46">
        <v>30</v>
      </c>
      <c r="G46" s="8" t="s">
        <v>35</v>
      </c>
      <c r="H46" t="s">
        <v>22</v>
      </c>
      <c r="I46" t="s">
        <v>23</v>
      </c>
      <c r="J46" t="s">
        <v>46</v>
      </c>
      <c r="K46" t="s">
        <v>25</v>
      </c>
      <c r="L46" t="s">
        <v>26</v>
      </c>
      <c r="M46" s="5" t="s">
        <v>54</v>
      </c>
      <c r="N46">
        <v>2</v>
      </c>
      <c r="O46" s="2">
        <v>1266</v>
      </c>
      <c r="P46" s="2">
        <v>2320</v>
      </c>
      <c r="Q46" s="2">
        <v>2108</v>
      </c>
      <c r="R46" s="2">
        <f t="shared" si="0"/>
        <v>2532</v>
      </c>
      <c r="S46" s="2">
        <f t="shared" si="1"/>
        <v>4640</v>
      </c>
    </row>
    <row r="47" spans="1:19" x14ac:dyDescent="0.25">
      <c r="A47" s="3" t="s">
        <v>104</v>
      </c>
      <c r="B47" s="1">
        <v>44544</v>
      </c>
      <c r="C47">
        <v>14</v>
      </c>
      <c r="D47" t="s">
        <v>20</v>
      </c>
      <c r="E47">
        <v>2021</v>
      </c>
      <c r="F47">
        <v>32</v>
      </c>
      <c r="G47" s="8" t="s">
        <v>35</v>
      </c>
      <c r="H47" t="s">
        <v>28</v>
      </c>
      <c r="I47" t="s">
        <v>23</v>
      </c>
      <c r="J47" t="s">
        <v>24</v>
      </c>
      <c r="K47" t="s">
        <v>25</v>
      </c>
      <c r="L47" t="s">
        <v>26</v>
      </c>
      <c r="M47" s="5" t="s">
        <v>27</v>
      </c>
      <c r="N47">
        <v>1</v>
      </c>
      <c r="O47" s="2">
        <v>1252</v>
      </c>
      <c r="P47" s="2">
        <v>2295</v>
      </c>
      <c r="Q47" s="2">
        <v>1043</v>
      </c>
      <c r="R47" s="2">
        <f t="shared" si="0"/>
        <v>1252</v>
      </c>
      <c r="S47" s="2">
        <f t="shared" si="1"/>
        <v>2295</v>
      </c>
    </row>
    <row r="48" spans="1:19" x14ac:dyDescent="0.25">
      <c r="A48" s="3" t="s">
        <v>105</v>
      </c>
      <c r="B48" s="1">
        <v>44544</v>
      </c>
      <c r="C48">
        <v>14</v>
      </c>
      <c r="D48" t="s">
        <v>20</v>
      </c>
      <c r="E48">
        <v>2021</v>
      </c>
      <c r="F48">
        <v>32</v>
      </c>
      <c r="G48" s="8" t="s">
        <v>35</v>
      </c>
      <c r="H48" t="s">
        <v>22</v>
      </c>
      <c r="I48" t="s">
        <v>36</v>
      </c>
      <c r="J48" t="s">
        <v>74</v>
      </c>
      <c r="K48" t="s">
        <v>25</v>
      </c>
      <c r="L48" t="s">
        <v>26</v>
      </c>
      <c r="M48" s="5" t="s">
        <v>33</v>
      </c>
      <c r="N48">
        <v>1</v>
      </c>
      <c r="O48" s="2">
        <v>420</v>
      </c>
      <c r="P48" s="2">
        <v>769</v>
      </c>
      <c r="Q48" s="2">
        <v>349</v>
      </c>
      <c r="R48" s="2">
        <f t="shared" si="0"/>
        <v>420</v>
      </c>
      <c r="S48" s="2">
        <f t="shared" si="1"/>
        <v>769</v>
      </c>
    </row>
    <row r="49" spans="1:19" x14ac:dyDescent="0.25">
      <c r="A49" s="3" t="s">
        <v>106</v>
      </c>
      <c r="B49" s="1">
        <v>44545</v>
      </c>
      <c r="C49">
        <v>15</v>
      </c>
      <c r="D49" t="s">
        <v>20</v>
      </c>
      <c r="E49">
        <v>2021</v>
      </c>
      <c r="F49">
        <v>29</v>
      </c>
      <c r="G49" s="8" t="s">
        <v>35</v>
      </c>
      <c r="H49" t="s">
        <v>22</v>
      </c>
      <c r="I49" t="s">
        <v>23</v>
      </c>
      <c r="J49" t="s">
        <v>24</v>
      </c>
      <c r="K49" t="s">
        <v>25</v>
      </c>
      <c r="L49" t="s">
        <v>26</v>
      </c>
      <c r="M49" s="5" t="s">
        <v>31</v>
      </c>
      <c r="N49">
        <v>1</v>
      </c>
      <c r="O49" s="2">
        <v>1266</v>
      </c>
      <c r="P49" s="2">
        <v>2320</v>
      </c>
      <c r="Q49" s="2">
        <v>1054</v>
      </c>
      <c r="R49" s="2">
        <f t="shared" si="0"/>
        <v>1266</v>
      </c>
      <c r="S49" s="2">
        <f t="shared" si="1"/>
        <v>2320</v>
      </c>
    </row>
    <row r="50" spans="1:19" x14ac:dyDescent="0.25">
      <c r="A50" s="3" t="s">
        <v>107</v>
      </c>
      <c r="B50" s="1">
        <v>44546</v>
      </c>
      <c r="C50">
        <v>16</v>
      </c>
      <c r="D50" t="s">
        <v>20</v>
      </c>
      <c r="E50">
        <v>2021</v>
      </c>
      <c r="F50">
        <v>33</v>
      </c>
      <c r="G50" s="8" t="s">
        <v>35</v>
      </c>
      <c r="H50" t="s">
        <v>22</v>
      </c>
      <c r="I50" t="s">
        <v>36</v>
      </c>
      <c r="J50" t="s">
        <v>37</v>
      </c>
      <c r="K50" t="s">
        <v>25</v>
      </c>
      <c r="L50" t="s">
        <v>26</v>
      </c>
      <c r="M50" s="5" t="s">
        <v>43</v>
      </c>
      <c r="N50">
        <v>2</v>
      </c>
      <c r="O50" s="2">
        <v>1252</v>
      </c>
      <c r="P50" s="2">
        <v>2295</v>
      </c>
      <c r="Q50" s="2">
        <v>2086</v>
      </c>
      <c r="R50" s="2">
        <f t="shared" si="0"/>
        <v>2504</v>
      </c>
      <c r="S50" s="2">
        <f t="shared" si="1"/>
        <v>4590</v>
      </c>
    </row>
    <row r="51" spans="1:19" x14ac:dyDescent="0.25">
      <c r="A51" s="3" t="s">
        <v>108</v>
      </c>
      <c r="B51" s="1">
        <v>44546</v>
      </c>
      <c r="C51">
        <v>16</v>
      </c>
      <c r="D51" t="s">
        <v>20</v>
      </c>
      <c r="E51">
        <v>2021</v>
      </c>
      <c r="F51">
        <v>38</v>
      </c>
      <c r="G51" s="8" t="s">
        <v>21</v>
      </c>
      <c r="H51" t="s">
        <v>28</v>
      </c>
      <c r="I51" t="s">
        <v>36</v>
      </c>
      <c r="J51" t="s">
        <v>37</v>
      </c>
      <c r="K51" t="s">
        <v>25</v>
      </c>
      <c r="L51" t="s">
        <v>26</v>
      </c>
      <c r="M51" s="5" t="s">
        <v>43</v>
      </c>
      <c r="N51">
        <v>2</v>
      </c>
      <c r="O51" s="2">
        <v>1252</v>
      </c>
      <c r="P51" s="2">
        <v>2295</v>
      </c>
      <c r="Q51" s="2">
        <v>2086</v>
      </c>
      <c r="R51" s="2">
        <f t="shared" si="0"/>
        <v>2504</v>
      </c>
      <c r="S51" s="2">
        <f t="shared" si="1"/>
        <v>4590</v>
      </c>
    </row>
    <row r="52" spans="1:19" x14ac:dyDescent="0.25">
      <c r="A52" s="3" t="s">
        <v>109</v>
      </c>
      <c r="B52" s="1">
        <v>44546</v>
      </c>
      <c r="C52">
        <v>16</v>
      </c>
      <c r="D52" t="s">
        <v>20</v>
      </c>
      <c r="E52">
        <v>2021</v>
      </c>
      <c r="F52">
        <v>27</v>
      </c>
      <c r="G52" s="8" t="s">
        <v>35</v>
      </c>
      <c r="H52" t="s">
        <v>22</v>
      </c>
      <c r="I52" t="s">
        <v>87</v>
      </c>
      <c r="J52" t="s">
        <v>110</v>
      </c>
      <c r="K52" t="s">
        <v>25</v>
      </c>
      <c r="L52" t="s">
        <v>26</v>
      </c>
      <c r="M52" s="5" t="s">
        <v>111</v>
      </c>
      <c r="N52">
        <v>1</v>
      </c>
      <c r="O52" s="2">
        <v>1266</v>
      </c>
      <c r="P52" s="2">
        <v>2320</v>
      </c>
      <c r="Q52" s="2">
        <v>1054</v>
      </c>
      <c r="R52" s="2">
        <f t="shared" si="0"/>
        <v>1266</v>
      </c>
      <c r="S52" s="2">
        <f t="shared" si="1"/>
        <v>2320</v>
      </c>
    </row>
    <row r="53" spans="1:19" x14ac:dyDescent="0.25">
      <c r="A53" s="3" t="s">
        <v>112</v>
      </c>
      <c r="B53" s="1">
        <v>44547</v>
      </c>
      <c r="C53">
        <v>17</v>
      </c>
      <c r="D53" t="s">
        <v>20</v>
      </c>
      <c r="E53">
        <v>2021</v>
      </c>
      <c r="F53">
        <v>37</v>
      </c>
      <c r="G53" s="8" t="s">
        <v>21</v>
      </c>
      <c r="H53" t="s">
        <v>22</v>
      </c>
      <c r="I53" t="s">
        <v>23</v>
      </c>
      <c r="J53" t="s">
        <v>46</v>
      </c>
      <c r="K53" t="s">
        <v>25</v>
      </c>
      <c r="L53" t="s">
        <v>26</v>
      </c>
      <c r="M53" s="5" t="s">
        <v>54</v>
      </c>
      <c r="N53">
        <v>2</v>
      </c>
      <c r="O53" s="2">
        <v>1266</v>
      </c>
      <c r="P53" s="2">
        <v>2320</v>
      </c>
      <c r="Q53" s="2">
        <v>2108</v>
      </c>
      <c r="R53" s="2">
        <f t="shared" si="0"/>
        <v>2532</v>
      </c>
      <c r="S53" s="2">
        <f t="shared" si="1"/>
        <v>4640</v>
      </c>
    </row>
    <row r="54" spans="1:19" x14ac:dyDescent="0.25">
      <c r="A54" s="3" t="s">
        <v>113</v>
      </c>
      <c r="B54" s="1">
        <v>44547</v>
      </c>
      <c r="C54">
        <v>17</v>
      </c>
      <c r="D54" t="s">
        <v>20</v>
      </c>
      <c r="E54">
        <v>2021</v>
      </c>
      <c r="F54">
        <v>31</v>
      </c>
      <c r="G54" s="8" t="s">
        <v>35</v>
      </c>
      <c r="H54" t="s">
        <v>28</v>
      </c>
      <c r="I54" t="s">
        <v>36</v>
      </c>
      <c r="J54" t="s">
        <v>37</v>
      </c>
      <c r="K54" t="s">
        <v>25</v>
      </c>
      <c r="L54" t="s">
        <v>26</v>
      </c>
      <c r="M54" s="5" t="s">
        <v>38</v>
      </c>
      <c r="N54">
        <v>1</v>
      </c>
      <c r="O54" s="2">
        <v>420</v>
      </c>
      <c r="P54" s="2">
        <v>769</v>
      </c>
      <c r="Q54" s="2">
        <v>349</v>
      </c>
      <c r="R54" s="2">
        <f t="shared" si="0"/>
        <v>420</v>
      </c>
      <c r="S54" s="2">
        <f t="shared" si="1"/>
        <v>769</v>
      </c>
    </row>
    <row r="55" spans="1:19" x14ac:dyDescent="0.25">
      <c r="A55" s="3" t="s">
        <v>114</v>
      </c>
      <c r="B55" s="1">
        <v>44547</v>
      </c>
      <c r="C55">
        <v>17</v>
      </c>
      <c r="D55" t="s">
        <v>20</v>
      </c>
      <c r="E55">
        <v>2021</v>
      </c>
      <c r="F55">
        <v>42</v>
      </c>
      <c r="G55" s="8" t="s">
        <v>21</v>
      </c>
      <c r="H55" t="s">
        <v>22</v>
      </c>
      <c r="I55" t="s">
        <v>50</v>
      </c>
      <c r="J55" t="s">
        <v>51</v>
      </c>
      <c r="K55" t="s">
        <v>25</v>
      </c>
      <c r="L55" t="s">
        <v>26</v>
      </c>
      <c r="M55" s="5" t="s">
        <v>111</v>
      </c>
      <c r="N55">
        <v>1</v>
      </c>
      <c r="O55" s="2">
        <v>1266</v>
      </c>
      <c r="P55" s="2">
        <v>2320</v>
      </c>
      <c r="Q55" s="2">
        <v>1054</v>
      </c>
      <c r="R55" s="2">
        <f t="shared" si="0"/>
        <v>1266</v>
      </c>
      <c r="S55" s="2">
        <f t="shared" si="1"/>
        <v>2320</v>
      </c>
    </row>
    <row r="56" spans="1:19" x14ac:dyDescent="0.25">
      <c r="A56" s="3" t="s">
        <v>115</v>
      </c>
      <c r="B56" s="1">
        <v>44548</v>
      </c>
      <c r="C56">
        <v>18</v>
      </c>
      <c r="D56" t="s">
        <v>20</v>
      </c>
      <c r="E56">
        <v>2021</v>
      </c>
      <c r="F56">
        <v>35</v>
      </c>
      <c r="G56" s="8" t="s">
        <v>21</v>
      </c>
      <c r="H56" t="s">
        <v>22</v>
      </c>
      <c r="I56" t="s">
        <v>36</v>
      </c>
      <c r="J56" t="s">
        <v>37</v>
      </c>
      <c r="K56" t="s">
        <v>25</v>
      </c>
      <c r="L56" t="s">
        <v>26</v>
      </c>
      <c r="M56" s="5" t="s">
        <v>67</v>
      </c>
      <c r="N56">
        <v>4</v>
      </c>
      <c r="O56" s="2">
        <v>308</v>
      </c>
      <c r="P56" s="2">
        <v>565</v>
      </c>
      <c r="Q56" s="2">
        <v>1028</v>
      </c>
      <c r="R56" s="2">
        <f t="shared" si="0"/>
        <v>1232</v>
      </c>
      <c r="S56" s="2">
        <f t="shared" si="1"/>
        <v>2260</v>
      </c>
    </row>
    <row r="57" spans="1:19" x14ac:dyDescent="0.25">
      <c r="A57" s="3" t="s">
        <v>116</v>
      </c>
      <c r="B57" s="1">
        <v>44548</v>
      </c>
      <c r="C57">
        <v>18</v>
      </c>
      <c r="D57" t="s">
        <v>20</v>
      </c>
      <c r="E57">
        <v>2021</v>
      </c>
      <c r="F57">
        <v>38</v>
      </c>
      <c r="G57" s="8" t="s">
        <v>21</v>
      </c>
      <c r="H57" t="s">
        <v>22</v>
      </c>
      <c r="I57" t="s">
        <v>50</v>
      </c>
      <c r="J57" t="s">
        <v>51</v>
      </c>
      <c r="K57" t="s">
        <v>25</v>
      </c>
      <c r="L57" t="s">
        <v>26</v>
      </c>
      <c r="M57" s="5" t="s">
        <v>111</v>
      </c>
      <c r="N57">
        <v>4</v>
      </c>
      <c r="O57" s="2">
        <v>1266</v>
      </c>
      <c r="P57" s="2">
        <v>2320</v>
      </c>
      <c r="Q57" s="2">
        <v>4216</v>
      </c>
      <c r="R57" s="2">
        <f t="shared" si="0"/>
        <v>5064</v>
      </c>
      <c r="S57" s="2">
        <f t="shared" si="1"/>
        <v>9280</v>
      </c>
    </row>
    <row r="58" spans="1:19" x14ac:dyDescent="0.25">
      <c r="A58" s="3" t="s">
        <v>117</v>
      </c>
      <c r="B58" s="1">
        <v>44548</v>
      </c>
      <c r="C58">
        <v>18</v>
      </c>
      <c r="D58" t="s">
        <v>20</v>
      </c>
      <c r="E58">
        <v>2021</v>
      </c>
      <c r="F58">
        <v>24</v>
      </c>
      <c r="G58" s="8" t="s">
        <v>42</v>
      </c>
      <c r="H58" t="s">
        <v>22</v>
      </c>
      <c r="I58" t="s">
        <v>87</v>
      </c>
      <c r="J58" t="s">
        <v>118</v>
      </c>
      <c r="K58" t="s">
        <v>25</v>
      </c>
      <c r="L58" t="s">
        <v>26</v>
      </c>
      <c r="M58" s="5" t="s">
        <v>54</v>
      </c>
      <c r="N58">
        <v>3</v>
      </c>
      <c r="O58" s="2">
        <v>1266</v>
      </c>
      <c r="P58" s="2">
        <v>2320</v>
      </c>
      <c r="Q58" s="2">
        <v>3162</v>
      </c>
      <c r="R58" s="2">
        <f t="shared" si="0"/>
        <v>3798</v>
      </c>
      <c r="S58" s="2">
        <f t="shared" si="1"/>
        <v>6960</v>
      </c>
    </row>
    <row r="59" spans="1:19" x14ac:dyDescent="0.25">
      <c r="A59" s="3" t="s">
        <v>119</v>
      </c>
      <c r="B59" s="1">
        <v>44548</v>
      </c>
      <c r="C59">
        <v>18</v>
      </c>
      <c r="D59" t="s">
        <v>20</v>
      </c>
      <c r="E59">
        <v>2021</v>
      </c>
      <c r="F59">
        <v>26</v>
      </c>
      <c r="G59" s="8" t="s">
        <v>35</v>
      </c>
      <c r="H59" t="s">
        <v>22</v>
      </c>
      <c r="I59" t="s">
        <v>29</v>
      </c>
      <c r="J59" t="s">
        <v>30</v>
      </c>
      <c r="K59" t="s">
        <v>25</v>
      </c>
      <c r="L59" t="s">
        <v>26</v>
      </c>
      <c r="M59" s="5" t="s">
        <v>38</v>
      </c>
      <c r="N59">
        <v>3</v>
      </c>
      <c r="O59" s="2">
        <v>420</v>
      </c>
      <c r="P59" s="2">
        <v>769</v>
      </c>
      <c r="Q59" s="2">
        <v>1047</v>
      </c>
      <c r="R59" s="2">
        <f t="shared" si="0"/>
        <v>1260</v>
      </c>
      <c r="S59" s="2">
        <f t="shared" si="1"/>
        <v>2307</v>
      </c>
    </row>
    <row r="60" spans="1:19" x14ac:dyDescent="0.25">
      <c r="A60" s="3" t="s">
        <v>120</v>
      </c>
      <c r="B60" s="1">
        <v>44548</v>
      </c>
      <c r="C60">
        <v>18</v>
      </c>
      <c r="D60" t="s">
        <v>20</v>
      </c>
      <c r="E60">
        <v>2021</v>
      </c>
      <c r="F60">
        <v>39</v>
      </c>
      <c r="G60" s="8" t="s">
        <v>21</v>
      </c>
      <c r="H60" t="s">
        <v>28</v>
      </c>
      <c r="I60" t="s">
        <v>23</v>
      </c>
      <c r="J60" t="s">
        <v>24</v>
      </c>
      <c r="K60" t="s">
        <v>25</v>
      </c>
      <c r="L60" t="s">
        <v>26</v>
      </c>
      <c r="M60" s="5" t="s">
        <v>61</v>
      </c>
      <c r="N60">
        <v>3</v>
      </c>
      <c r="O60" s="2">
        <v>1252</v>
      </c>
      <c r="P60" s="2">
        <v>2295</v>
      </c>
      <c r="Q60" s="2">
        <v>3129</v>
      </c>
      <c r="R60" s="2">
        <f t="shared" si="0"/>
        <v>3756</v>
      </c>
      <c r="S60" s="2">
        <f t="shared" si="1"/>
        <v>6885</v>
      </c>
    </row>
    <row r="61" spans="1:19" x14ac:dyDescent="0.25">
      <c r="A61" s="3" t="s">
        <v>121</v>
      </c>
      <c r="B61" s="1">
        <v>44548</v>
      </c>
      <c r="C61">
        <v>18</v>
      </c>
      <c r="D61" t="s">
        <v>20</v>
      </c>
      <c r="E61">
        <v>2021</v>
      </c>
      <c r="F61">
        <v>26</v>
      </c>
      <c r="G61" s="8" t="s">
        <v>35</v>
      </c>
      <c r="H61" t="s">
        <v>28</v>
      </c>
      <c r="I61" t="s">
        <v>87</v>
      </c>
      <c r="J61" t="s">
        <v>88</v>
      </c>
      <c r="K61" t="s">
        <v>25</v>
      </c>
      <c r="L61" t="s">
        <v>26</v>
      </c>
      <c r="M61" s="5" t="s">
        <v>27</v>
      </c>
      <c r="N61">
        <v>1</v>
      </c>
      <c r="O61" s="2">
        <v>1252</v>
      </c>
      <c r="P61" s="2">
        <v>2295</v>
      </c>
      <c r="Q61" s="2">
        <v>1043</v>
      </c>
      <c r="R61" s="2">
        <f t="shared" si="0"/>
        <v>1252</v>
      </c>
      <c r="S61" s="2">
        <f t="shared" si="1"/>
        <v>2295</v>
      </c>
    </row>
    <row r="62" spans="1:19" x14ac:dyDescent="0.25">
      <c r="A62" s="3" t="s">
        <v>122</v>
      </c>
      <c r="B62" s="1">
        <v>44548</v>
      </c>
      <c r="C62">
        <v>18</v>
      </c>
      <c r="D62" t="s">
        <v>20</v>
      </c>
      <c r="E62">
        <v>2021</v>
      </c>
      <c r="F62">
        <v>36</v>
      </c>
      <c r="G62" s="8" t="s">
        <v>21</v>
      </c>
      <c r="H62" t="s">
        <v>28</v>
      </c>
      <c r="I62" t="s">
        <v>23</v>
      </c>
      <c r="J62" t="s">
        <v>46</v>
      </c>
      <c r="K62" t="s">
        <v>25</v>
      </c>
      <c r="L62" t="s">
        <v>26</v>
      </c>
      <c r="M62" s="5" t="s">
        <v>54</v>
      </c>
      <c r="N62">
        <v>1</v>
      </c>
      <c r="O62" s="2">
        <v>1266</v>
      </c>
      <c r="P62" s="2">
        <v>2320</v>
      </c>
      <c r="Q62" s="2">
        <v>1054</v>
      </c>
      <c r="R62" s="2">
        <f t="shared" si="0"/>
        <v>1266</v>
      </c>
      <c r="S62" s="2">
        <f t="shared" si="1"/>
        <v>2320</v>
      </c>
    </row>
    <row r="63" spans="1:19" x14ac:dyDescent="0.25">
      <c r="A63" s="3" t="s">
        <v>123</v>
      </c>
      <c r="B63" s="1">
        <v>44549</v>
      </c>
      <c r="C63">
        <v>19</v>
      </c>
      <c r="D63" t="s">
        <v>20</v>
      </c>
      <c r="E63">
        <v>2021</v>
      </c>
      <c r="F63">
        <v>17</v>
      </c>
      <c r="G63" s="8" t="s">
        <v>42</v>
      </c>
      <c r="H63" t="s">
        <v>28</v>
      </c>
      <c r="I63" t="s">
        <v>87</v>
      </c>
      <c r="J63" t="s">
        <v>124</v>
      </c>
      <c r="K63" t="s">
        <v>25</v>
      </c>
      <c r="L63" t="s">
        <v>26</v>
      </c>
      <c r="M63" s="5" t="s">
        <v>111</v>
      </c>
      <c r="N63">
        <v>4</v>
      </c>
      <c r="O63" s="2">
        <v>1266</v>
      </c>
      <c r="P63" s="2">
        <v>2320</v>
      </c>
      <c r="Q63" s="2">
        <v>4216</v>
      </c>
      <c r="R63" s="2">
        <f t="shared" si="0"/>
        <v>5064</v>
      </c>
      <c r="S63" s="2">
        <f t="shared" si="1"/>
        <v>9280</v>
      </c>
    </row>
    <row r="64" spans="1:19" x14ac:dyDescent="0.25">
      <c r="A64" s="3" t="s">
        <v>125</v>
      </c>
      <c r="B64" s="1">
        <v>44549</v>
      </c>
      <c r="C64">
        <v>19</v>
      </c>
      <c r="D64" t="s">
        <v>20</v>
      </c>
      <c r="E64">
        <v>2021</v>
      </c>
      <c r="F64">
        <v>19</v>
      </c>
      <c r="G64" s="8" t="s">
        <v>42</v>
      </c>
      <c r="H64" t="s">
        <v>22</v>
      </c>
      <c r="I64" t="s">
        <v>36</v>
      </c>
      <c r="J64" t="s">
        <v>74</v>
      </c>
      <c r="K64" t="s">
        <v>25</v>
      </c>
      <c r="L64" t="s">
        <v>26</v>
      </c>
      <c r="M64" s="5" t="s">
        <v>126</v>
      </c>
      <c r="N64">
        <v>4</v>
      </c>
      <c r="O64" s="2">
        <v>295</v>
      </c>
      <c r="P64" s="2">
        <v>540</v>
      </c>
      <c r="Q64" s="2">
        <v>980</v>
      </c>
      <c r="R64" s="2">
        <f t="shared" si="0"/>
        <v>1180</v>
      </c>
      <c r="S64" s="2">
        <f t="shared" si="1"/>
        <v>2160</v>
      </c>
    </row>
    <row r="65" spans="1:19" x14ac:dyDescent="0.25">
      <c r="A65" s="3" t="s">
        <v>127</v>
      </c>
      <c r="B65" s="1">
        <v>44549</v>
      </c>
      <c r="C65">
        <v>19</v>
      </c>
      <c r="D65" t="s">
        <v>20</v>
      </c>
      <c r="E65">
        <v>2021</v>
      </c>
      <c r="F65">
        <v>25</v>
      </c>
      <c r="G65" s="8" t="s">
        <v>35</v>
      </c>
      <c r="H65" t="s">
        <v>28</v>
      </c>
      <c r="I65" t="s">
        <v>87</v>
      </c>
      <c r="J65" t="s">
        <v>88</v>
      </c>
      <c r="K65" t="s">
        <v>25</v>
      </c>
      <c r="L65" t="s">
        <v>26</v>
      </c>
      <c r="M65" s="5" t="s">
        <v>43</v>
      </c>
      <c r="N65">
        <v>4</v>
      </c>
      <c r="O65" s="2">
        <v>1252</v>
      </c>
      <c r="P65" s="2">
        <v>2295</v>
      </c>
      <c r="Q65" s="2">
        <v>4172</v>
      </c>
      <c r="R65" s="2">
        <f t="shared" si="0"/>
        <v>5008</v>
      </c>
      <c r="S65" s="2">
        <f t="shared" si="1"/>
        <v>9180</v>
      </c>
    </row>
    <row r="66" spans="1:19" x14ac:dyDescent="0.25">
      <c r="A66" s="3" t="s">
        <v>128</v>
      </c>
      <c r="B66" s="1">
        <v>44549</v>
      </c>
      <c r="C66">
        <v>19</v>
      </c>
      <c r="D66" t="s">
        <v>20</v>
      </c>
      <c r="E66">
        <v>2021</v>
      </c>
      <c r="F66">
        <v>35</v>
      </c>
      <c r="G66" s="8" t="s">
        <v>21</v>
      </c>
      <c r="H66" t="s">
        <v>22</v>
      </c>
      <c r="I66" t="s">
        <v>23</v>
      </c>
      <c r="J66" t="s">
        <v>70</v>
      </c>
      <c r="K66" t="s">
        <v>25</v>
      </c>
      <c r="L66" t="s">
        <v>26</v>
      </c>
      <c r="M66" s="5" t="s">
        <v>129</v>
      </c>
      <c r="N66">
        <v>4</v>
      </c>
      <c r="O66" s="2">
        <v>1898</v>
      </c>
      <c r="P66" s="2">
        <v>3375</v>
      </c>
      <c r="Q66" s="2">
        <v>5908</v>
      </c>
      <c r="R66" s="2">
        <f t="shared" si="0"/>
        <v>7592</v>
      </c>
      <c r="S66" s="2">
        <f t="shared" si="1"/>
        <v>13500</v>
      </c>
    </row>
    <row r="67" spans="1:19" x14ac:dyDescent="0.25">
      <c r="A67" s="3" t="s">
        <v>130</v>
      </c>
      <c r="B67" s="1">
        <v>44549</v>
      </c>
      <c r="C67">
        <v>19</v>
      </c>
      <c r="D67" t="s">
        <v>20</v>
      </c>
      <c r="E67">
        <v>2021</v>
      </c>
      <c r="F67">
        <v>37</v>
      </c>
      <c r="G67" s="8" t="s">
        <v>21</v>
      </c>
      <c r="H67" t="s">
        <v>28</v>
      </c>
      <c r="I67" t="s">
        <v>23</v>
      </c>
      <c r="J67" t="s">
        <v>70</v>
      </c>
      <c r="K67" t="s">
        <v>25</v>
      </c>
      <c r="L67" t="s">
        <v>26</v>
      </c>
      <c r="M67" s="5" t="s">
        <v>43</v>
      </c>
      <c r="N67">
        <v>4</v>
      </c>
      <c r="O67" s="2">
        <v>1252</v>
      </c>
      <c r="P67" s="2">
        <v>2295</v>
      </c>
      <c r="Q67" s="2">
        <v>4172</v>
      </c>
      <c r="R67" s="2">
        <f t="shared" ref="R67:R89" si="2">N67*O67</f>
        <v>5008</v>
      </c>
      <c r="S67" s="2">
        <f t="shared" ref="S67:S89" si="3">N67*P67</f>
        <v>9180</v>
      </c>
    </row>
    <row r="68" spans="1:19" x14ac:dyDescent="0.25">
      <c r="A68" s="3" t="s">
        <v>131</v>
      </c>
      <c r="B68" s="1">
        <v>44549</v>
      </c>
      <c r="C68">
        <v>19</v>
      </c>
      <c r="D68" t="s">
        <v>20</v>
      </c>
      <c r="E68">
        <v>2021</v>
      </c>
      <c r="F68">
        <v>39</v>
      </c>
      <c r="G68" s="8" t="s">
        <v>21</v>
      </c>
      <c r="H68" t="s">
        <v>22</v>
      </c>
      <c r="I68" t="s">
        <v>23</v>
      </c>
      <c r="J68" t="s">
        <v>24</v>
      </c>
      <c r="K68" t="s">
        <v>25</v>
      </c>
      <c r="L68" t="s">
        <v>26</v>
      </c>
      <c r="M68" s="5" t="s">
        <v>27</v>
      </c>
      <c r="N68">
        <v>4</v>
      </c>
      <c r="O68" s="2">
        <v>1252</v>
      </c>
      <c r="P68" s="2">
        <v>2295</v>
      </c>
      <c r="Q68" s="2">
        <v>4172</v>
      </c>
      <c r="R68" s="2">
        <f t="shared" si="2"/>
        <v>5008</v>
      </c>
      <c r="S68" s="2">
        <f t="shared" si="3"/>
        <v>9180</v>
      </c>
    </row>
    <row r="69" spans="1:19" x14ac:dyDescent="0.25">
      <c r="A69" s="3" t="s">
        <v>132</v>
      </c>
      <c r="B69" s="1">
        <v>44549</v>
      </c>
      <c r="C69">
        <v>19</v>
      </c>
      <c r="D69" t="s">
        <v>20</v>
      </c>
      <c r="E69">
        <v>2021</v>
      </c>
      <c r="F69">
        <v>63</v>
      </c>
      <c r="G69" s="8" t="s">
        <v>21</v>
      </c>
      <c r="H69" t="s">
        <v>22</v>
      </c>
      <c r="I69" t="s">
        <v>36</v>
      </c>
      <c r="J69" t="s">
        <v>53</v>
      </c>
      <c r="K69" t="s">
        <v>25</v>
      </c>
      <c r="L69" t="s">
        <v>26</v>
      </c>
      <c r="M69" s="5" t="s">
        <v>27</v>
      </c>
      <c r="N69">
        <v>4</v>
      </c>
      <c r="O69" s="2">
        <v>1252</v>
      </c>
      <c r="P69" s="2">
        <v>2295</v>
      </c>
      <c r="Q69" s="2">
        <v>4172</v>
      </c>
      <c r="R69" s="2">
        <f t="shared" si="2"/>
        <v>5008</v>
      </c>
      <c r="S69" s="2">
        <f t="shared" si="3"/>
        <v>9180</v>
      </c>
    </row>
    <row r="70" spans="1:19" x14ac:dyDescent="0.25">
      <c r="A70" s="3" t="s">
        <v>133</v>
      </c>
      <c r="B70" s="1">
        <v>44549</v>
      </c>
      <c r="C70">
        <v>19</v>
      </c>
      <c r="D70" t="s">
        <v>20</v>
      </c>
      <c r="E70">
        <v>2021</v>
      </c>
      <c r="F70">
        <v>18</v>
      </c>
      <c r="G70" s="8" t="s">
        <v>42</v>
      </c>
      <c r="H70" t="s">
        <v>28</v>
      </c>
      <c r="I70" t="s">
        <v>36</v>
      </c>
      <c r="J70" t="s">
        <v>134</v>
      </c>
      <c r="K70" t="s">
        <v>25</v>
      </c>
      <c r="L70" t="s">
        <v>26</v>
      </c>
      <c r="M70" s="5" t="s">
        <v>82</v>
      </c>
      <c r="N70">
        <v>2</v>
      </c>
      <c r="O70" s="2">
        <v>295</v>
      </c>
      <c r="P70" s="2">
        <v>540</v>
      </c>
      <c r="Q70" s="2">
        <v>490</v>
      </c>
      <c r="R70" s="2">
        <f t="shared" si="2"/>
        <v>590</v>
      </c>
      <c r="S70" s="2">
        <f t="shared" si="3"/>
        <v>1080</v>
      </c>
    </row>
    <row r="71" spans="1:19" x14ac:dyDescent="0.25">
      <c r="A71" s="3" t="s">
        <v>135</v>
      </c>
      <c r="B71" s="1">
        <v>44549</v>
      </c>
      <c r="C71">
        <v>19</v>
      </c>
      <c r="D71" t="s">
        <v>20</v>
      </c>
      <c r="E71">
        <v>2021</v>
      </c>
      <c r="F71">
        <v>56</v>
      </c>
      <c r="G71" s="8" t="s">
        <v>21</v>
      </c>
      <c r="H71" t="s">
        <v>22</v>
      </c>
      <c r="I71" t="s">
        <v>50</v>
      </c>
      <c r="J71" t="s">
        <v>136</v>
      </c>
      <c r="K71" t="s">
        <v>25</v>
      </c>
      <c r="L71" t="s">
        <v>26</v>
      </c>
      <c r="M71" s="5" t="s">
        <v>27</v>
      </c>
      <c r="N71">
        <v>2</v>
      </c>
      <c r="O71" s="2">
        <v>1252</v>
      </c>
      <c r="P71" s="2">
        <v>2295</v>
      </c>
      <c r="Q71" s="2">
        <v>2086</v>
      </c>
      <c r="R71" s="2">
        <f t="shared" si="2"/>
        <v>2504</v>
      </c>
      <c r="S71" s="2">
        <f t="shared" si="3"/>
        <v>4590</v>
      </c>
    </row>
    <row r="72" spans="1:19" x14ac:dyDescent="0.25">
      <c r="A72" s="3" t="s">
        <v>137</v>
      </c>
      <c r="B72" s="1">
        <v>44549</v>
      </c>
      <c r="C72">
        <v>19</v>
      </c>
      <c r="D72" t="s">
        <v>20</v>
      </c>
      <c r="E72">
        <v>2021</v>
      </c>
      <c r="F72">
        <v>39</v>
      </c>
      <c r="G72" s="8" t="s">
        <v>21</v>
      </c>
      <c r="H72" t="s">
        <v>22</v>
      </c>
      <c r="I72" t="s">
        <v>23</v>
      </c>
      <c r="J72" t="s">
        <v>46</v>
      </c>
      <c r="K72" t="s">
        <v>25</v>
      </c>
      <c r="L72" t="s">
        <v>26</v>
      </c>
      <c r="M72" s="5" t="s">
        <v>54</v>
      </c>
      <c r="N72">
        <v>1</v>
      </c>
      <c r="O72" s="2">
        <v>1266</v>
      </c>
      <c r="P72" s="2">
        <v>2320</v>
      </c>
      <c r="Q72" s="2">
        <v>1054</v>
      </c>
      <c r="R72" s="2">
        <f t="shared" si="2"/>
        <v>1266</v>
      </c>
      <c r="S72" s="2">
        <f t="shared" si="3"/>
        <v>2320</v>
      </c>
    </row>
    <row r="73" spans="1:19" x14ac:dyDescent="0.25">
      <c r="A73" s="3" t="s">
        <v>138</v>
      </c>
      <c r="B73" s="1">
        <v>44550</v>
      </c>
      <c r="C73">
        <v>20</v>
      </c>
      <c r="D73" t="s">
        <v>20</v>
      </c>
      <c r="E73">
        <v>2021</v>
      </c>
      <c r="F73">
        <v>33</v>
      </c>
      <c r="G73" s="8" t="s">
        <v>35</v>
      </c>
      <c r="H73" t="s">
        <v>22</v>
      </c>
      <c r="I73" t="s">
        <v>36</v>
      </c>
      <c r="J73" t="s">
        <v>74</v>
      </c>
      <c r="K73" t="s">
        <v>25</v>
      </c>
      <c r="L73" t="s">
        <v>26</v>
      </c>
      <c r="M73" s="5" t="s">
        <v>75</v>
      </c>
      <c r="N73">
        <v>4</v>
      </c>
      <c r="O73" s="2">
        <v>1898</v>
      </c>
      <c r="P73" s="2">
        <v>3375</v>
      </c>
      <c r="Q73" s="2">
        <v>5908</v>
      </c>
      <c r="R73" s="2">
        <f t="shared" si="2"/>
        <v>7592</v>
      </c>
      <c r="S73" s="2">
        <f t="shared" si="3"/>
        <v>13500</v>
      </c>
    </row>
    <row r="74" spans="1:19" x14ac:dyDescent="0.25">
      <c r="A74" s="3" t="s">
        <v>139</v>
      </c>
      <c r="B74" s="1">
        <v>44550</v>
      </c>
      <c r="C74">
        <v>20</v>
      </c>
      <c r="D74" t="s">
        <v>20</v>
      </c>
      <c r="E74">
        <v>2021</v>
      </c>
      <c r="F74">
        <v>57</v>
      </c>
      <c r="G74" s="8" t="s">
        <v>21</v>
      </c>
      <c r="H74" t="s">
        <v>28</v>
      </c>
      <c r="I74" t="s">
        <v>36</v>
      </c>
      <c r="J74" t="s">
        <v>53</v>
      </c>
      <c r="K74" t="s">
        <v>25</v>
      </c>
      <c r="L74" t="s">
        <v>26</v>
      </c>
      <c r="M74" s="5" t="s">
        <v>27</v>
      </c>
      <c r="N74">
        <v>4</v>
      </c>
      <c r="O74" s="2">
        <v>1252</v>
      </c>
      <c r="P74" s="2">
        <v>2295</v>
      </c>
      <c r="Q74" s="2">
        <v>4172</v>
      </c>
      <c r="R74" s="2">
        <f t="shared" si="2"/>
        <v>5008</v>
      </c>
      <c r="S74" s="2">
        <f t="shared" si="3"/>
        <v>9180</v>
      </c>
    </row>
    <row r="75" spans="1:19" x14ac:dyDescent="0.25">
      <c r="A75" s="3" t="s">
        <v>140</v>
      </c>
      <c r="B75" s="1">
        <v>44550</v>
      </c>
      <c r="C75">
        <v>20</v>
      </c>
      <c r="D75" t="s">
        <v>20</v>
      </c>
      <c r="E75">
        <v>2021</v>
      </c>
      <c r="F75">
        <v>29</v>
      </c>
      <c r="G75" s="8" t="s">
        <v>35</v>
      </c>
      <c r="H75" t="s">
        <v>28</v>
      </c>
      <c r="I75" t="s">
        <v>58</v>
      </c>
      <c r="J75" t="s">
        <v>59</v>
      </c>
      <c r="K75" t="s">
        <v>25</v>
      </c>
      <c r="L75" t="s">
        <v>26</v>
      </c>
      <c r="M75" s="5" t="s">
        <v>141</v>
      </c>
      <c r="N75">
        <v>3</v>
      </c>
      <c r="O75" s="2">
        <v>295</v>
      </c>
      <c r="P75" s="2">
        <v>540</v>
      </c>
      <c r="Q75" s="2">
        <v>735</v>
      </c>
      <c r="R75" s="2">
        <f t="shared" si="2"/>
        <v>885</v>
      </c>
      <c r="S75" s="2">
        <f t="shared" si="3"/>
        <v>1620</v>
      </c>
    </row>
    <row r="76" spans="1:19" x14ac:dyDescent="0.25">
      <c r="A76" s="3" t="s">
        <v>142</v>
      </c>
      <c r="B76" s="1">
        <v>44550</v>
      </c>
      <c r="C76">
        <v>20</v>
      </c>
      <c r="D76" t="s">
        <v>20</v>
      </c>
      <c r="E76">
        <v>2021</v>
      </c>
      <c r="F76">
        <v>35</v>
      </c>
      <c r="G76" s="8" t="s">
        <v>21</v>
      </c>
      <c r="H76" t="s">
        <v>22</v>
      </c>
      <c r="I76" t="s">
        <v>36</v>
      </c>
      <c r="J76" t="s">
        <v>53</v>
      </c>
      <c r="K76" t="s">
        <v>25</v>
      </c>
      <c r="L76" t="s">
        <v>26</v>
      </c>
      <c r="M76" s="5" t="s">
        <v>54</v>
      </c>
      <c r="N76">
        <v>1</v>
      </c>
      <c r="O76" s="2">
        <v>1266</v>
      </c>
      <c r="P76" s="2">
        <v>2320</v>
      </c>
      <c r="Q76" s="2">
        <v>1054</v>
      </c>
      <c r="R76" s="2">
        <f t="shared" si="2"/>
        <v>1266</v>
      </c>
      <c r="S76" s="2">
        <f t="shared" si="3"/>
        <v>2320</v>
      </c>
    </row>
    <row r="77" spans="1:19" x14ac:dyDescent="0.25">
      <c r="A77" s="3" t="s">
        <v>143</v>
      </c>
      <c r="B77" s="1">
        <v>44550</v>
      </c>
      <c r="C77">
        <v>20</v>
      </c>
      <c r="D77" t="s">
        <v>20</v>
      </c>
      <c r="E77">
        <v>2021</v>
      </c>
      <c r="F77">
        <v>35</v>
      </c>
      <c r="G77" s="8" t="s">
        <v>21</v>
      </c>
      <c r="H77" t="s">
        <v>28</v>
      </c>
      <c r="I77" t="s">
        <v>36</v>
      </c>
      <c r="J77" t="s">
        <v>74</v>
      </c>
      <c r="K77" t="s">
        <v>25</v>
      </c>
      <c r="L77" t="s">
        <v>26</v>
      </c>
      <c r="M77" s="5" t="s">
        <v>54</v>
      </c>
      <c r="N77">
        <v>1</v>
      </c>
      <c r="O77" s="2">
        <v>1266</v>
      </c>
      <c r="P77" s="2">
        <v>2320</v>
      </c>
      <c r="Q77" s="2">
        <v>1054</v>
      </c>
      <c r="R77" s="2">
        <f t="shared" si="2"/>
        <v>1266</v>
      </c>
      <c r="S77" s="2">
        <f t="shared" si="3"/>
        <v>2320</v>
      </c>
    </row>
    <row r="78" spans="1:19" x14ac:dyDescent="0.25">
      <c r="A78" s="3" t="s">
        <v>144</v>
      </c>
      <c r="B78" s="1">
        <v>44551</v>
      </c>
      <c r="C78">
        <v>21</v>
      </c>
      <c r="D78" t="s">
        <v>20</v>
      </c>
      <c r="E78">
        <v>2021</v>
      </c>
      <c r="F78">
        <v>26</v>
      </c>
      <c r="G78" s="8" t="s">
        <v>35</v>
      </c>
      <c r="H78" t="s">
        <v>28</v>
      </c>
      <c r="I78" t="s">
        <v>87</v>
      </c>
      <c r="J78" t="s">
        <v>145</v>
      </c>
      <c r="K78" t="s">
        <v>25</v>
      </c>
      <c r="L78" t="s">
        <v>26</v>
      </c>
      <c r="M78" s="5" t="s">
        <v>54</v>
      </c>
      <c r="N78">
        <v>3</v>
      </c>
      <c r="O78" s="2">
        <v>1266</v>
      </c>
      <c r="P78" s="2">
        <v>2320</v>
      </c>
      <c r="Q78" s="2">
        <v>3162</v>
      </c>
      <c r="R78" s="2">
        <f t="shared" si="2"/>
        <v>3798</v>
      </c>
      <c r="S78" s="2">
        <f t="shared" si="3"/>
        <v>6960</v>
      </c>
    </row>
    <row r="79" spans="1:19" x14ac:dyDescent="0.25">
      <c r="A79" s="3" t="s">
        <v>146</v>
      </c>
      <c r="B79" s="1">
        <v>44551</v>
      </c>
      <c r="C79">
        <v>21</v>
      </c>
      <c r="D79" t="s">
        <v>20</v>
      </c>
      <c r="E79">
        <v>2021</v>
      </c>
      <c r="F79">
        <v>23</v>
      </c>
      <c r="G79" s="8" t="s">
        <v>42</v>
      </c>
      <c r="H79" t="s">
        <v>28</v>
      </c>
      <c r="I79" t="s">
        <v>29</v>
      </c>
      <c r="J79" t="s">
        <v>30</v>
      </c>
      <c r="K79" t="s">
        <v>25</v>
      </c>
      <c r="L79" t="s">
        <v>26</v>
      </c>
      <c r="M79" s="5" t="s">
        <v>33</v>
      </c>
      <c r="N79">
        <v>2</v>
      </c>
      <c r="O79" s="2">
        <v>420</v>
      </c>
      <c r="P79" s="2">
        <v>769</v>
      </c>
      <c r="Q79" s="2">
        <v>698</v>
      </c>
      <c r="R79" s="2">
        <f t="shared" si="2"/>
        <v>840</v>
      </c>
      <c r="S79" s="2">
        <f t="shared" si="3"/>
        <v>1538</v>
      </c>
    </row>
    <row r="80" spans="1:19" x14ac:dyDescent="0.25">
      <c r="A80" s="3" t="s">
        <v>147</v>
      </c>
      <c r="B80" s="1">
        <v>44552</v>
      </c>
      <c r="C80">
        <v>22</v>
      </c>
      <c r="D80" t="s">
        <v>20</v>
      </c>
      <c r="E80">
        <v>2021</v>
      </c>
      <c r="F80">
        <v>30</v>
      </c>
      <c r="G80" s="8" t="s">
        <v>35</v>
      </c>
      <c r="H80" t="s">
        <v>22</v>
      </c>
      <c r="I80" t="s">
        <v>23</v>
      </c>
      <c r="J80" t="s">
        <v>46</v>
      </c>
      <c r="K80" t="s">
        <v>25</v>
      </c>
      <c r="L80" t="s">
        <v>26</v>
      </c>
      <c r="M80" s="5" t="s">
        <v>54</v>
      </c>
      <c r="N80">
        <v>3</v>
      </c>
      <c r="O80" s="2">
        <v>1266</v>
      </c>
      <c r="P80" s="2">
        <v>2320</v>
      </c>
      <c r="Q80" s="2">
        <v>3162</v>
      </c>
      <c r="R80" s="2">
        <f t="shared" si="2"/>
        <v>3798</v>
      </c>
      <c r="S80" s="2">
        <f t="shared" si="3"/>
        <v>6960</v>
      </c>
    </row>
    <row r="81" spans="1:19" x14ac:dyDescent="0.25">
      <c r="A81" s="3" t="s">
        <v>148</v>
      </c>
      <c r="B81" s="1">
        <v>44552</v>
      </c>
      <c r="C81">
        <v>22</v>
      </c>
      <c r="D81" t="s">
        <v>20</v>
      </c>
      <c r="E81">
        <v>2021</v>
      </c>
      <c r="F81">
        <v>41</v>
      </c>
      <c r="G81" s="8" t="s">
        <v>21</v>
      </c>
      <c r="H81" t="s">
        <v>28</v>
      </c>
      <c r="I81" t="s">
        <v>23</v>
      </c>
      <c r="J81" t="s">
        <v>24</v>
      </c>
      <c r="K81" t="s">
        <v>25</v>
      </c>
      <c r="L81" t="s">
        <v>26</v>
      </c>
      <c r="M81" s="5" t="s">
        <v>61</v>
      </c>
      <c r="N81">
        <v>3</v>
      </c>
      <c r="O81" s="2">
        <v>1252</v>
      </c>
      <c r="P81" s="2">
        <v>2295</v>
      </c>
      <c r="Q81" s="2">
        <v>3129</v>
      </c>
      <c r="R81" s="2">
        <f t="shared" si="2"/>
        <v>3756</v>
      </c>
      <c r="S81" s="2">
        <f t="shared" si="3"/>
        <v>6885</v>
      </c>
    </row>
    <row r="82" spans="1:19" x14ac:dyDescent="0.25">
      <c r="A82" s="3" t="s">
        <v>149</v>
      </c>
      <c r="B82" s="1">
        <v>44552</v>
      </c>
      <c r="C82">
        <v>22</v>
      </c>
      <c r="D82" t="s">
        <v>20</v>
      </c>
      <c r="E82">
        <v>2021</v>
      </c>
      <c r="F82">
        <v>19</v>
      </c>
      <c r="G82" s="8" t="s">
        <v>42</v>
      </c>
      <c r="H82" t="s">
        <v>22</v>
      </c>
      <c r="I82" t="s">
        <v>36</v>
      </c>
      <c r="J82" t="s">
        <v>37</v>
      </c>
      <c r="K82" t="s">
        <v>25</v>
      </c>
      <c r="L82" t="s">
        <v>26</v>
      </c>
      <c r="M82" s="5" t="s">
        <v>67</v>
      </c>
      <c r="N82">
        <v>1</v>
      </c>
      <c r="O82" s="2">
        <v>308</v>
      </c>
      <c r="P82" s="2">
        <v>565</v>
      </c>
      <c r="Q82" s="2">
        <v>257</v>
      </c>
      <c r="R82" s="2">
        <f t="shared" si="2"/>
        <v>308</v>
      </c>
      <c r="S82" s="2">
        <f t="shared" si="3"/>
        <v>565</v>
      </c>
    </row>
    <row r="83" spans="1:19" x14ac:dyDescent="0.25">
      <c r="A83" s="3" t="s">
        <v>150</v>
      </c>
      <c r="B83" s="1">
        <v>44552</v>
      </c>
      <c r="C83">
        <v>22</v>
      </c>
      <c r="D83" t="s">
        <v>20</v>
      </c>
      <c r="E83">
        <v>2021</v>
      </c>
      <c r="F83">
        <v>25</v>
      </c>
      <c r="G83" s="8" t="s">
        <v>35</v>
      </c>
      <c r="H83" t="s">
        <v>28</v>
      </c>
      <c r="I83" t="s">
        <v>87</v>
      </c>
      <c r="J83" t="s">
        <v>88</v>
      </c>
      <c r="K83" t="s">
        <v>25</v>
      </c>
      <c r="L83" t="s">
        <v>26</v>
      </c>
      <c r="M83" s="5" t="s">
        <v>43</v>
      </c>
      <c r="N83">
        <v>1</v>
      </c>
      <c r="O83" s="2">
        <v>1252</v>
      </c>
      <c r="P83" s="2">
        <v>2295</v>
      </c>
      <c r="Q83" s="2">
        <v>1043</v>
      </c>
      <c r="R83" s="2">
        <f t="shared" si="2"/>
        <v>1252</v>
      </c>
      <c r="S83" s="2">
        <f t="shared" si="3"/>
        <v>2295</v>
      </c>
    </row>
    <row r="84" spans="1:19" x14ac:dyDescent="0.25">
      <c r="A84" s="3" t="s">
        <v>151</v>
      </c>
      <c r="B84" s="1">
        <v>44552</v>
      </c>
      <c r="C84">
        <v>22</v>
      </c>
      <c r="D84" t="s">
        <v>20</v>
      </c>
      <c r="E84">
        <v>2021</v>
      </c>
      <c r="F84">
        <v>27</v>
      </c>
      <c r="G84" s="8" t="s">
        <v>35</v>
      </c>
      <c r="H84" t="s">
        <v>22</v>
      </c>
      <c r="I84" t="s">
        <v>58</v>
      </c>
      <c r="J84" t="s">
        <v>59</v>
      </c>
      <c r="K84" t="s">
        <v>25</v>
      </c>
      <c r="L84" t="s">
        <v>26</v>
      </c>
      <c r="M84" s="5" t="s">
        <v>27</v>
      </c>
      <c r="N84">
        <v>1</v>
      </c>
      <c r="O84" s="2">
        <v>1252</v>
      </c>
      <c r="P84" s="2">
        <v>2295</v>
      </c>
      <c r="Q84" s="2">
        <v>1043</v>
      </c>
      <c r="R84" s="2">
        <f t="shared" si="2"/>
        <v>1252</v>
      </c>
      <c r="S84" s="2">
        <f t="shared" si="3"/>
        <v>2295</v>
      </c>
    </row>
    <row r="85" spans="1:19" x14ac:dyDescent="0.25">
      <c r="A85" s="3" t="s">
        <v>152</v>
      </c>
      <c r="B85" s="1">
        <v>44552</v>
      </c>
      <c r="C85">
        <v>22</v>
      </c>
      <c r="D85" t="s">
        <v>20</v>
      </c>
      <c r="E85">
        <v>2021</v>
      </c>
      <c r="F85">
        <v>41</v>
      </c>
      <c r="G85" s="8" t="s">
        <v>21</v>
      </c>
      <c r="H85" t="s">
        <v>28</v>
      </c>
      <c r="I85" t="s">
        <v>50</v>
      </c>
      <c r="J85" t="s">
        <v>136</v>
      </c>
      <c r="K85" t="s">
        <v>25</v>
      </c>
      <c r="L85" t="s">
        <v>26</v>
      </c>
      <c r="M85" s="5" t="s">
        <v>54</v>
      </c>
      <c r="N85">
        <v>1</v>
      </c>
      <c r="O85" s="2">
        <v>1266</v>
      </c>
      <c r="P85" s="2">
        <v>2320</v>
      </c>
      <c r="Q85" s="2">
        <v>1054</v>
      </c>
      <c r="R85" s="2">
        <f t="shared" si="2"/>
        <v>1266</v>
      </c>
      <c r="S85" s="2">
        <f t="shared" si="3"/>
        <v>2320</v>
      </c>
    </row>
    <row r="86" spans="1:19" x14ac:dyDescent="0.25">
      <c r="A86" s="3" t="s">
        <v>153</v>
      </c>
      <c r="B86" s="1">
        <v>44553</v>
      </c>
      <c r="C86">
        <v>23</v>
      </c>
      <c r="D86" t="s">
        <v>20</v>
      </c>
      <c r="E86">
        <v>2021</v>
      </c>
      <c r="F86">
        <v>30</v>
      </c>
      <c r="G86" s="8" t="s">
        <v>35</v>
      </c>
      <c r="H86" t="s">
        <v>22</v>
      </c>
      <c r="I86" t="s">
        <v>23</v>
      </c>
      <c r="J86" t="s">
        <v>70</v>
      </c>
      <c r="K86" t="s">
        <v>25</v>
      </c>
      <c r="L86" t="s">
        <v>26</v>
      </c>
      <c r="M86" s="5" t="s">
        <v>31</v>
      </c>
      <c r="N86">
        <v>1</v>
      </c>
      <c r="O86" s="2">
        <v>1266</v>
      </c>
      <c r="P86" s="2">
        <v>2320</v>
      </c>
      <c r="Q86" s="2">
        <v>1054</v>
      </c>
      <c r="R86" s="2">
        <f t="shared" si="2"/>
        <v>1266</v>
      </c>
      <c r="S86" s="2">
        <f t="shared" si="3"/>
        <v>2320</v>
      </c>
    </row>
    <row r="87" spans="1:19" x14ac:dyDescent="0.25">
      <c r="A87" s="3" t="s">
        <v>154</v>
      </c>
      <c r="B87" s="1">
        <v>44553</v>
      </c>
      <c r="C87">
        <v>23</v>
      </c>
      <c r="D87" t="s">
        <v>20</v>
      </c>
      <c r="E87">
        <v>2021</v>
      </c>
      <c r="F87">
        <v>31</v>
      </c>
      <c r="G87" s="8" t="s">
        <v>35</v>
      </c>
      <c r="H87" t="s">
        <v>22</v>
      </c>
      <c r="I87" t="s">
        <v>58</v>
      </c>
      <c r="J87" t="s">
        <v>59</v>
      </c>
      <c r="K87" t="s">
        <v>25</v>
      </c>
      <c r="L87" t="s">
        <v>26</v>
      </c>
      <c r="M87" s="5" t="s">
        <v>61</v>
      </c>
      <c r="N87">
        <v>1</v>
      </c>
      <c r="O87" s="2">
        <v>1252</v>
      </c>
      <c r="P87" s="2">
        <v>2295</v>
      </c>
      <c r="Q87" s="2">
        <v>1043</v>
      </c>
      <c r="R87" s="2">
        <f t="shared" si="2"/>
        <v>1252</v>
      </c>
      <c r="S87" s="2">
        <f t="shared" si="3"/>
        <v>2295</v>
      </c>
    </row>
    <row r="88" spans="1:19" x14ac:dyDescent="0.25">
      <c r="A88" s="3" t="s">
        <v>155</v>
      </c>
      <c r="B88" s="1">
        <v>44553</v>
      </c>
      <c r="C88">
        <v>23</v>
      </c>
      <c r="D88" t="s">
        <v>20</v>
      </c>
      <c r="E88">
        <v>2021</v>
      </c>
      <c r="F88">
        <v>35</v>
      </c>
      <c r="G88" s="8" t="s">
        <v>21</v>
      </c>
      <c r="H88" t="s">
        <v>22</v>
      </c>
      <c r="I88" t="s">
        <v>23</v>
      </c>
      <c r="J88" t="s">
        <v>24</v>
      </c>
      <c r="K88" t="s">
        <v>25</v>
      </c>
      <c r="L88" t="s">
        <v>26</v>
      </c>
      <c r="M88" s="5" t="s">
        <v>72</v>
      </c>
      <c r="N88">
        <v>1</v>
      </c>
      <c r="O88" s="2">
        <v>295</v>
      </c>
      <c r="P88" s="2">
        <v>540</v>
      </c>
      <c r="Q88" s="2">
        <v>245</v>
      </c>
      <c r="R88" s="2">
        <f t="shared" si="2"/>
        <v>295</v>
      </c>
      <c r="S88" s="2">
        <f t="shared" si="3"/>
        <v>540</v>
      </c>
    </row>
    <row r="89" spans="1:19" x14ac:dyDescent="0.25">
      <c r="A89" s="3" t="s">
        <v>156</v>
      </c>
      <c r="B89" s="1">
        <v>44554</v>
      </c>
      <c r="C89">
        <v>24</v>
      </c>
      <c r="D89" t="s">
        <v>20</v>
      </c>
      <c r="E89">
        <v>2021</v>
      </c>
      <c r="F89">
        <v>38</v>
      </c>
      <c r="G89" s="8" t="s">
        <v>21</v>
      </c>
      <c r="H89" t="s">
        <v>28</v>
      </c>
      <c r="I89" t="s">
        <v>36</v>
      </c>
      <c r="J89" t="s">
        <v>53</v>
      </c>
      <c r="K89" t="s">
        <v>25</v>
      </c>
      <c r="L89" t="s">
        <v>26</v>
      </c>
      <c r="M89" s="5" t="s">
        <v>61</v>
      </c>
      <c r="N89">
        <v>4</v>
      </c>
      <c r="O89" s="2">
        <v>1252</v>
      </c>
      <c r="P89" s="2">
        <v>2295</v>
      </c>
      <c r="Q89" s="2">
        <v>4172</v>
      </c>
      <c r="R89" s="2">
        <f t="shared" si="2"/>
        <v>5008</v>
      </c>
      <c r="S89" s="2">
        <f t="shared" si="3"/>
        <v>9180</v>
      </c>
    </row>
  </sheetData>
  <phoneticPr fontId="18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cf0ffbd-cd96-4ba4-bd4f-bd34e8409846">
      <Terms xmlns="http://schemas.microsoft.com/office/infopath/2007/PartnerControls"/>
    </lcf76f155ced4ddcb4097134ff3c332f>
    <TaxCatchAll xmlns="ef7ae401-bd17-41a5-97cb-ef653218410e" xsi:nil="true"/>
    <SharedWithUsers xmlns="ef7ae401-bd17-41a5-97cb-ef653218410e">
      <UserInfo>
        <DisplayName/>
        <AccountId xsi:nil="true"/>
        <AccountType/>
      </UserInfo>
    </SharedWithUsers>
    <MediaLengthInSeconds xmlns="6cf0ffbd-cd96-4ba4-bd4f-bd34e8409846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98F9F34832A35489A19D5E200F54CC8" ma:contentTypeVersion="17" ma:contentTypeDescription="Create a new document." ma:contentTypeScope="" ma:versionID="4667fbbc43b4318bb111874a548e13d5">
  <xsd:schema xmlns:xsd="http://www.w3.org/2001/XMLSchema" xmlns:xs="http://www.w3.org/2001/XMLSchema" xmlns:p="http://schemas.microsoft.com/office/2006/metadata/properties" xmlns:ns2="6cf0ffbd-cd96-4ba4-bd4f-bd34e8409846" xmlns:ns3="ef7ae401-bd17-41a5-97cb-ef653218410e" targetNamespace="http://schemas.microsoft.com/office/2006/metadata/properties" ma:root="true" ma:fieldsID="750e449e756990df47b00428a15370bb" ns2:_="" ns3:_="">
    <xsd:import namespace="6cf0ffbd-cd96-4ba4-bd4f-bd34e8409846"/>
    <xsd:import namespace="ef7ae401-bd17-41a5-97cb-ef65321841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3:TaxCatchAll" minOccurs="0"/>
                <xsd:element ref="ns2:lcf76f155ced4ddcb4097134ff3c332f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cf0ffbd-cd96-4ba4-bd4f-bd34e840984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710261dd-85c0-4e16-8580-30375acfae1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7ae401-bd17-41a5-97cb-ef653218410e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caefe5af-a435-4393-a14b-6f721e236a53}" ma:internalName="TaxCatchAll" ma:showField="CatchAllData" ma:web="ef7ae401-bd17-41a5-97cb-ef65321841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B55A197-E6BA-450D-B171-3C9117E06810}">
  <ds:schemaRefs>
    <ds:schemaRef ds:uri="http://purl.org/dc/elements/1.1/"/>
    <ds:schemaRef ds:uri="http://schemas.microsoft.com/office/infopath/2007/PartnerControls"/>
    <ds:schemaRef ds:uri="ef7ae401-bd17-41a5-97cb-ef653218410e"/>
    <ds:schemaRef ds:uri="http://purl.org/dc/dcmitype/"/>
    <ds:schemaRef ds:uri="http://schemas.microsoft.com/office/2006/documentManagement/types"/>
    <ds:schemaRef ds:uri="http://www.w3.org/XML/1998/namespace"/>
    <ds:schemaRef ds:uri="http://schemas.openxmlformats.org/package/2006/metadata/core-properties"/>
    <ds:schemaRef ds:uri="6cf0ffbd-cd96-4ba4-bd4f-bd34e8409846"/>
    <ds:schemaRef ds:uri="http://schemas.microsoft.com/office/2006/metadata/properties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89A0981A-8B6B-4170-BCF8-2DB63DFF61C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294796C-5BA7-4D41-83ED-B2ACAD8AF7A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cf0ffbd-cd96-4ba4-bd4f-bd34e8409846"/>
    <ds:schemaRef ds:uri="ef7ae401-bd17-41a5-97cb-ef653218410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Analysis</vt:lpstr>
      <vt:lpstr>Most Profit</vt:lpstr>
      <vt:lpstr>Bike Sales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Pickard, John</dc:creator>
  <cp:keywords/>
  <dc:description/>
  <cp:lastModifiedBy>COMLAB</cp:lastModifiedBy>
  <cp:revision/>
  <dcterms:created xsi:type="dcterms:W3CDTF">2022-11-04T20:14:11Z</dcterms:created>
  <dcterms:modified xsi:type="dcterms:W3CDTF">2026-02-20T10:13:52Z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0x010100198F9F34832A35489A19D5E200F54CC8</vt:lpwstr>
  </property>
  <property fmtid="{D5CDD505-2E9C-101B-9397-08002B2CF9AE}" pid="3" name="Order">
    <vt:r8>2338200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_ExtendedDescription">
    <vt:lpwstr/>
  </property>
  <property fmtid="{D5CDD505-2E9C-101B-9397-08002B2CF9AE}" pid="7" name="TriggerFlowInfo">
    <vt:lpwstr/>
  </property>
  <property fmtid="{D5CDD505-2E9C-101B-9397-08002B2CF9AE}" pid="8" name="_SourceUrl">
    <vt:lpwstr/>
  </property>
  <property fmtid="{D5CDD505-2E9C-101B-9397-08002B2CF9AE}" pid="9" name="_SharedFileIndex">
    <vt:lpwstr/>
  </property>
  <property fmtid="{D5CDD505-2E9C-101B-9397-08002B2CF9AE}" pid="10" name="ComplianceAssetId">
    <vt:lpwstr/>
  </property>
  <property fmtid="{D5CDD505-2E9C-101B-9397-08002B2CF9AE}" pid="11" name="TemplateUrl">
    <vt:lpwstr/>
  </property>
  <property fmtid="{D5CDD505-2E9C-101B-9397-08002B2CF9AE}" pid="12" name="MediaServiceImageTags">
    <vt:lpwstr/>
  </property>
</Properties>
</file>