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302\"/>
    </mc:Choice>
  </mc:AlternateContent>
  <bookViews>
    <workbookView xWindow="0" yWindow="0" windowWidth="28800" windowHeight="12300" tabRatio="724" activeTab="4"/>
  </bookViews>
  <sheets>
    <sheet name="department_dim" sheetId="7" r:id="rId1"/>
    <sheet name="client_dim" sheetId="6" r:id="rId2"/>
    <sheet name="state_dim" sheetId="8" r:id="rId3"/>
    <sheet name="payment_dim" sheetId="9" r:id="rId4"/>
    <sheet name="revenue_fact" sheetId="10" r:id="rId5"/>
    <sheet name="Clean Data " sheetId="4" r:id="rId6"/>
    <sheet name="Dirty Data" sheetId="11" r:id="rId7"/>
  </sheets>
  <definedNames>
    <definedName name="_xlcn.WorksheetConnection_Sales_Revenue_DatasetEsguerra.xlsxclient_dim1" hidden="1">client_dim[]</definedName>
    <definedName name="_xlcn.WorksheetConnection_Sales_Revenue_DatasetEsguerra.xlsxdepartment_dim1" hidden="1">department_dim[]</definedName>
    <definedName name="_xlcn.WorksheetConnection_Sales_Revenue_DatasetEsguerra.xlsxpayment_dim1" hidden="1">payment_dim[]</definedName>
    <definedName name="_xlcn.WorksheetConnection_Sales_Revenue_DatasetEsguerra.xlsxrevenue_fact1" hidden="1">revenue_fact[]</definedName>
    <definedName name="_xlcn.WorksheetConnection_Sales_Revenue_DatasetEsguerra.xlsxstate_dim1" hidden="1">state_dim[]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venue_fact" name="revenue_fact" connection="WorksheetConnection_Sales_Revenue_Dataset (Esguerra).xlsx!revenue_fact"/>
          <x15:modelTable id="client_dim" name="client_dim" connection="WorksheetConnection_Sales_Revenue_Dataset (Esguerra).xlsx!client_dim"/>
          <x15:modelTable id="department_dim" name="department_dim" connection="WorksheetConnection_Sales_Revenue_Dataset (Esguerra).xlsx!department_dim"/>
          <x15:modelTable id="payment_dim" name="payment_dim" connection="WorksheetConnection_Sales_Revenue_Dataset (Esguerra).xlsx!payment_dim"/>
          <x15:modelTable id="state_dim" name="state_dim" connection="WorksheetConnection_Sales_Revenue_Dataset (Esguerra).xlsx!state_dim"/>
        </x15:modelTables>
        <x15:modelRelationships>
          <x15:modelRelationship fromTable="revenue_fact" fromColumn="Client_id" toTable="client_dim" toColumn="Client_id"/>
          <x15:modelRelationship fromTable="revenue_fact" fromColumn="Dept_id" toTable="department_dim" toColumn="Dept_id"/>
          <x15:modelRelationship fromTable="revenue_fact" fromColumn="Payment_id" toTable="payment_dim" toColumn="Payment_id"/>
          <x15:modelRelationship fromTable="revenue_fact" fromColumn="State_id" toTable="state_dim" toColumn="Stat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0" l="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G1048572" i="10" l="1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H1048572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ales_Revenue_Dataset (Esguerra).xlsx!client_dim" type="102" refreshedVersion="6" minRefreshableVersion="5">
    <extLst>
      <ext xmlns:x15="http://schemas.microsoft.com/office/spreadsheetml/2010/11/main" uri="{DE250136-89BD-433C-8126-D09CA5730AF9}">
        <x15:connection id="client_dim">
          <x15:rangePr sourceName="_xlcn.WorksheetConnection_Sales_Revenue_DatasetEsguerra.xlsxclient_dim1"/>
        </x15:connection>
      </ext>
    </extLst>
  </connection>
  <connection id="3" name="WorksheetConnection_Sales_Revenue_Dataset (Esguerra).xlsx!department_dim" type="102" refreshedVersion="6" minRefreshableVersion="5">
    <extLst>
      <ext xmlns:x15="http://schemas.microsoft.com/office/spreadsheetml/2010/11/main" uri="{DE250136-89BD-433C-8126-D09CA5730AF9}">
        <x15:connection id="department_dim">
          <x15:rangePr sourceName="_xlcn.WorksheetConnection_Sales_Revenue_DatasetEsguerra.xlsxdepartment_dim1"/>
        </x15:connection>
      </ext>
    </extLst>
  </connection>
  <connection id="4" name="WorksheetConnection_Sales_Revenue_Dataset (Esguerra).xlsx!payment_dim" type="102" refreshedVersion="6" minRefreshableVersion="5">
    <extLst>
      <ext xmlns:x15="http://schemas.microsoft.com/office/spreadsheetml/2010/11/main" uri="{DE250136-89BD-433C-8126-D09CA5730AF9}">
        <x15:connection id="payment_dim">
          <x15:rangePr sourceName="_xlcn.WorksheetConnection_Sales_Revenue_DatasetEsguerra.xlsxpayment_dim1"/>
        </x15:connection>
      </ext>
    </extLst>
  </connection>
  <connection id="5" name="WorksheetConnection_Sales_Revenue_Dataset (Esguerra)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Sales_Revenue_DatasetEsguerra.xlsxrevenue_fact1"/>
        </x15:connection>
      </ext>
    </extLst>
  </connection>
  <connection id="6" name="WorksheetConnection_Sales_Revenue_Dataset (Esguerra)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Sales_Revenue_DatasetEsguerra.xlsxstate_dim1"/>
        </x15:connection>
      </ext>
    </extLst>
  </connection>
</connections>
</file>

<file path=xl/sharedStrings.xml><?xml version="1.0" encoding="utf-8"?>
<sst xmlns="http://schemas.openxmlformats.org/spreadsheetml/2006/main" count="610" uniqueCount="243">
  <si>
    <t>Date</t>
  </si>
  <si>
    <t>Revenue</t>
  </si>
  <si>
    <t>Profit</t>
  </si>
  <si>
    <t>Profit Margin</t>
  </si>
  <si>
    <t>Client</t>
  </si>
  <si>
    <t>Department</t>
  </si>
  <si>
    <t>Payment</t>
  </si>
  <si>
    <t>Card</t>
  </si>
  <si>
    <t>PayPal</t>
  </si>
  <si>
    <t>Check</t>
  </si>
  <si>
    <t>Transfer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</si>
  <si>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</si>
  <si>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</si>
  <si>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</si>
  <si>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</si>
  <si>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</si>
  <si>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</si>
  <si>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</si>
  <si>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</si>
  <si>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</si>
  <si>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</si>
  <si>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</si>
  <si>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</si>
  <si>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</si>
  <si>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</si>
  <si>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</si>
  <si>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</si>
  <si>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</si>
  <si>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</si>
  <si>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</si>
  <si>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</si>
  <si>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</si>
  <si>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</si>
  <si>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</si>
  <si>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</si>
  <si>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</si>
  <si>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</si>
  <si>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</si>
  <si>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</si>
  <si>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First Name</t>
  </si>
  <si>
    <t>Last Name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</si>
  <si>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</si>
  <si>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</si>
  <si>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</si>
  <si>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</si>
  <si>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</si>
  <si>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</si>
  <si>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</si>
  <si>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</si>
  <si>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</si>
  <si>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</si>
  <si>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</si>
  <si>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</si>
  <si>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</si>
  <si>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</si>
  <si>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</si>
  <si>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</si>
  <si>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</si>
  <si>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</si>
  <si>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</si>
  <si>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</si>
  <si>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</si>
  <si>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</si>
  <si>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</si>
  <si>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</si>
  <si>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</si>
  <si>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</si>
  <si>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</si>
  <si>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</si>
  <si>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</si>
  <si>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</si>
  <si>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</si>
  <si>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</si>
  <si>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</si>
  <si>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</si>
  <si>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</si>
  <si>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</si>
  <si>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</si>
  <si>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</si>
  <si>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</si>
  <si>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</si>
  <si>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</si>
  <si>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</si>
  <si>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</si>
  <si>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</si>
  <si>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</si>
  <si>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</si>
  <si>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</si>
  <si>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</si>
  <si>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</si>
  <si>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</si>
  <si>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</si>
  <si>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</si>
  <si>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</si>
  <si>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</si>
  <si>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</si>
  <si>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</si>
  <si>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State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</si>
  <si>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</si>
  <si>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</si>
  <si>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</si>
  <si>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</si>
  <si>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</si>
  <si>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</si>
  <si>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</si>
  <si>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</si>
  <si>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Other</t>
  </si>
  <si>
    <t>Client_id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</si>
  <si>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</si>
  <si>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</si>
  <si>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</si>
  <si>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</si>
  <si>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</si>
  <si>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</si>
  <si>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</si>
  <si>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</si>
  <si>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</si>
  <si>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</si>
  <si>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</si>
  <si>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</si>
  <si>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</si>
  <si>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</si>
  <si>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</si>
  <si>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</si>
  <si>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</si>
  <si>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</si>
  <si>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</si>
  <si>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</si>
  <si>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</si>
  <si>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</si>
  <si>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</si>
  <si>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</si>
  <si>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</si>
  <si>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</si>
  <si>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</si>
  <si>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</si>
  <si>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D-101</t>
  </si>
  <si>
    <t>D-102</t>
  </si>
  <si>
    <t>D-103</t>
  </si>
  <si>
    <t>Dept_id</t>
  </si>
  <si>
    <t>State_id</t>
  </si>
  <si>
    <t>Payment_id</t>
  </si>
  <si>
    <t>Trans_id</t>
  </si>
  <si>
    <t>TR-101</t>
  </si>
  <si>
    <t>TR-102</t>
  </si>
  <si>
    <t>TR-109</t>
  </si>
  <si>
    <t>TR-105</t>
  </si>
  <si>
    <t>TR-104</t>
  </si>
  <si>
    <t>TR-103</t>
  </si>
  <si>
    <t>TR-106</t>
  </si>
  <si>
    <t>TR-107</t>
  </si>
  <si>
    <t>TR-108</t>
  </si>
  <si>
    <t>TR-110</t>
  </si>
  <si>
    <t>TR-111</t>
  </si>
  <si>
    <t>TR-112</t>
  </si>
  <si>
    <t>TR-113</t>
  </si>
  <si>
    <t>TR-114</t>
  </si>
  <si>
    <t>TR-115</t>
  </si>
  <si>
    <t>TR-116</t>
  </si>
  <si>
    <t>TR-117</t>
  </si>
  <si>
    <t>TR-118</t>
  </si>
  <si>
    <t>TR-119</t>
  </si>
  <si>
    <t>TR-120</t>
  </si>
  <si>
    <t>TR-121</t>
  </si>
  <si>
    <t>TR-122</t>
  </si>
  <si>
    <t>TR-123</t>
  </si>
  <si>
    <t>TR-124</t>
  </si>
  <si>
    <t>TR-125</t>
  </si>
  <si>
    <t>TR-126</t>
  </si>
  <si>
    <t>TR-127</t>
  </si>
  <si>
    <t>TR-128</t>
  </si>
  <si>
    <t>D-104</t>
  </si>
  <si>
    <t>Contact</t>
  </si>
  <si>
    <t>AMAZON.COM, INC. (XNAS:AMZN)</t>
  </si>
  <si>
    <t xml:space="preserve">     Bill SmITH</t>
  </si>
  <si>
    <t>Cloud Tech_Texas</t>
  </si>
  <si>
    <t>TESLA, INC. (XNAS:TSLA)</t>
  </si>
  <si>
    <t>KEN Singh</t>
  </si>
  <si>
    <t>Strategy_New York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</si>
  <si>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</si>
  <si>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</si>
  <si>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</si>
  <si>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</si>
  <si>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</si>
  <si>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</si>
  <si>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</si>
  <si>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</si>
  <si>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</si>
  <si>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</si>
  <si>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</si>
  <si>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</si>
  <si>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</si>
  <si>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</si>
  <si>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</si>
  <si>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</si>
  <si>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</si>
  <si>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</si>
  <si>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</si>
  <si>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</si>
  <si>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</si>
  <si>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</si>
  <si>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</si>
  <si>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</si>
  <si>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</si>
  <si>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</si>
  <si>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</si>
  <si>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</si>
  <si>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</si>
  <si>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</si>
  <si>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</si>
  <si>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</si>
  <si>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</si>
  <si>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</si>
  <si>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</si>
  <si>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</si>
  <si>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</si>
  <si>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</si>
  <si>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</si>
  <si>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</si>
  <si>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</si>
  <si>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</si>
  <si>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</si>
  <si>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</si>
  <si>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</si>
  <si>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</si>
  <si>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</si>
  <si>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</si>
  <si>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</si>
  <si>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</si>
  <si>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</si>
  <si>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</si>
  <si>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</si>
  <si>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</si>
  <si>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TR-129</t>
  </si>
  <si>
    <t>S-101</t>
  </si>
  <si>
    <t>S-102</t>
  </si>
  <si>
    <t>S-103</t>
  </si>
  <si>
    <t>S-104</t>
  </si>
  <si>
    <t>P-105</t>
  </si>
  <si>
    <t>P-104</t>
  </si>
  <si>
    <t>P-103</t>
  </si>
  <si>
    <t>P-102</t>
  </si>
  <si>
    <t>P-101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</si>
</sst>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[Red]\(&quot;$&quot;#,##0\)"/>
    <numFmt numFmtId="165" formatCode="mm/dd/yyyy;@"/>
    <numFmt numFmtId="166" formatCode="[$$-409]#,##0.00;[Red][$$-409]#,##0.00"/>
    <numFmt numFmtId="167" formatCode="0.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0" borderId="0" xfId="0" applyNumberFormat="1"/>
    <xf numFmtId="9" fontId="0" fillId="0" borderId="0" xfId="1" applyNumberFormat="1" applyFont="1"/>
    <xf numFmtId="166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/>
    <xf numFmtId="14" fontId="0" fillId="0" borderId="0" xfId="0" applyNumberFormat="1"/>
    <xf numFmtId="167" fontId="0" fillId="0" borderId="0" xfId="1" applyNumberFormat="1" applyFont="1"/>
    <xf numFmtId="0" fontId="0" fillId="0" borderId="0" xfId="0" applyFill="1"/>
    <xf numFmtId="165" fontId="0" fillId="0" borderId="0" xfId="0" applyNumberFormat="1" applyFill="1"/>
    <xf numFmtId="9" fontId="0" fillId="0" borderId="0" xfId="1" applyNumberFormat="1" applyFont="1" applyFill="1"/>
  </cellXfs>
  <cellStyles count="2">
    <cellStyle name="Normal" xfId="0" builtinId="0"/>
    <cellStyle name="Percent" xfId="1" builtinId="5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</dxf>
    <dxf>
      <numFmt numFmtId="166" formatCode="[$$-409]#,##0.00;[Red][$$-409]#,##0.00"/>
      <alignment horizontal="center" vertical="bottom" textRotation="0" wrapText="0" indent="0" justifyLastLine="0" shrinkToFit="0" readingOrder="0"/>
    </dxf>
    <dxf>
      <numFmt numFmtId="166" formatCode="[$$-409]#,##0.00;[Red][$$-409]#,##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mm/dd/yyyy;@"/>
    </dxf>
    <dxf>
      <numFmt numFmtId="165" formatCode="mm/dd/yyyy;@"/>
    </dxf>
    <dxf>
      <numFmt numFmtId="165" formatCode="mm/dd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id="4" name="department_dim" displayName="department_dim" ref="A1:B5" totalsRowShown="0">
  <autoFilter ref="A1:B5"/>
  <tableColumns count="2">
    <tableColumn id="1" name="Department"/>
    <tableColumn id="2" name="Dept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lient_dim" displayName="client_dim" ref="A1:D29" totalsRowShown="0" headerRowDxfId="9">
  <autoFilter ref="A1:D29"/>
  <tableColumns count="4">
    <tableColumn id="1" name="Client"/>
    <tableColumn id="2" name="Client_id"/>
    <tableColumn id="3" name="First Name"/>
    <tableColumn id="4" name="Last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state_dim" displayName="state_dim" ref="A1:B5" totalsRowShown="0">
  <autoFilter ref="A1:B5"/>
  <tableColumns count="2">
    <tableColumn id="1" name="State"/>
    <tableColumn id="2" name="State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payment_dim" displayName="payment_dim" ref="A1:B6" totalsRowShown="0">
  <autoFilter ref="A1:B6"/>
  <tableColumns count="2">
    <tableColumn id="1" name="Payment"/>
    <tableColumn id="2" name="Payment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enue_fact" displayName="revenue_fact" ref="A1:I30" totalsRowShown="0" headerRowDxfId="0">
  <autoFilter ref="A1:I30"/>
  <tableColumns count="9">
    <tableColumn id="1" name="Trans_id"/>
    <tableColumn id="2" name="Date" dataDxfId="8"/>
    <tableColumn id="3" name="Client_id" dataDxfId="7"/>
    <tableColumn id="4" name="Dept_id" dataDxfId="6"/>
    <tableColumn id="5" name="State_id" dataDxfId="5"/>
    <tableColumn id="6" name="Payment_id" dataDxfId="4"/>
    <tableColumn id="7" name="Revenue" dataDxfId="3"/>
    <tableColumn id="8" name="Profit" dataDxfId="2"/>
    <tableColumn id="9" name="Profit Margin" dataDxfId="1" dataCellStyle="Percent">
      <calculatedColumnFormula>IFERROR(H2/G2,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30" zoomScaleNormal="130" workbookViewId="0">
      <selection sqref="A1:B5"/>
    </sheetView>
  </sheetViews>
  <sheetFormatPr defaultColWidth="11" defaultRowHeight="15.75" x14ac:dyDescent="0.25"/>
  <cols>
    <col min="1" max="1" width="17.375" customWidth="1"/>
    <col min="2" max="2" width="9.75" customWidth="1"/>
  </cols>
  <sheetData>
    <row r="1" spans="1:2" ht="23.25" x14ac:dyDescent="0.35">
      <c r="A1" s="2" t="s">
        <v>5</v>
      </c>
      <c r="B1" s="9" t="s">
        <v>139</v>
      </c>
    </row>
    <row r="2" spans="1:2" x14ac:dyDescent="0.25">
      <c r="A2" t="s">
        <v>104</v>
      </c>
      <c r="B2" t="s">
        <v>171</v>
      </c>
    </row>
    <row r="3" spans="1:2" x14ac:dyDescent="0.25">
      <c r="A3" t="s">
        <v>98</v>
      </c>
      <c r="B3" t="s">
        <v>136</v>
      </c>
    </row>
    <row r="4" spans="1:2" x14ac:dyDescent="0.25">
      <c r="A4" t="s">
        <v>102</v>
      </c>
      <c r="B4" t="s">
        <v>138</v>
      </c>
    </row>
    <row r="5" spans="1:2" x14ac:dyDescent="0.25">
      <c r="A5" t="s">
        <v>100</v>
      </c>
      <c r="B5" t="s">
        <v>137</v>
      </c>
    </row>
  </sheetData>
  <sortState ref="A2:B5">
    <sortCondition ref="A2:A5"/>
    <sortCondition ref="B2:B5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Normal="100" workbookViewId="0">
      <selection sqref="A1:D29"/>
    </sheetView>
  </sheetViews>
  <sheetFormatPr defaultColWidth="11" defaultRowHeight="15.75" x14ac:dyDescent="0.25"/>
  <cols>
    <col min="1" max="1" width="15" bestFit="1" customWidth="1"/>
    <col min="2" max="2" width="12.125" customWidth="1"/>
    <col min="3" max="3" width="16.375" customWidth="1"/>
    <col min="4" max="4" width="15.875" customWidth="1"/>
  </cols>
  <sheetData>
    <row r="1" spans="1:4" ht="23.25" x14ac:dyDescent="0.35">
      <c r="A1" s="2" t="s">
        <v>4</v>
      </c>
      <c r="B1" s="10" t="s">
        <v>107</v>
      </c>
      <c r="C1" s="2" t="s">
        <v>39</v>
      </c>
      <c r="D1" s="2" t="s">
        <v>40</v>
      </c>
    </row>
    <row r="2" spans="1:4" x14ac:dyDescent="0.25">
      <c r="A2" t="s">
        <v>11</v>
      </c>
      <c r="B2" t="s">
        <v>108</v>
      </c>
      <c r="C2" t="s">
        <v>41</v>
      </c>
      <c r="D2" t="s">
        <v>42</v>
      </c>
    </row>
    <row r="3" spans="1:4" x14ac:dyDescent="0.25">
      <c r="A3" t="s">
        <v>29</v>
      </c>
      <c r="B3" t="s">
        <v>109</v>
      </c>
      <c r="C3" t="s">
        <v>77</v>
      </c>
      <c r="D3" t="s">
        <v>78</v>
      </c>
    </row>
    <row r="4" spans="1:4" x14ac:dyDescent="0.25">
      <c r="A4" t="s">
        <v>19</v>
      </c>
      <c r="B4" t="s">
        <v>110</v>
      </c>
      <c r="C4" t="s">
        <v>57</v>
      </c>
      <c r="D4" t="s">
        <v>58</v>
      </c>
    </row>
    <row r="5" spans="1:4" x14ac:dyDescent="0.25">
      <c r="A5" t="s">
        <v>28</v>
      </c>
      <c r="B5" t="s">
        <v>111</v>
      </c>
      <c r="C5" t="s">
        <v>75</v>
      </c>
      <c r="D5" t="s">
        <v>76</v>
      </c>
    </row>
    <row r="6" spans="1:4" x14ac:dyDescent="0.25">
      <c r="A6" t="s">
        <v>27</v>
      </c>
      <c r="B6" t="s">
        <v>112</v>
      </c>
      <c r="C6" t="s">
        <v>73</v>
      </c>
      <c r="D6" t="s">
        <v>74</v>
      </c>
    </row>
    <row r="7" spans="1:4" x14ac:dyDescent="0.25">
      <c r="A7" t="s">
        <v>18</v>
      </c>
      <c r="B7" t="s">
        <v>113</v>
      </c>
      <c r="C7" t="s">
        <v>55</v>
      </c>
      <c r="D7" t="s">
        <v>56</v>
      </c>
    </row>
    <row r="8" spans="1:4" x14ac:dyDescent="0.25">
      <c r="A8" t="s">
        <v>33</v>
      </c>
      <c r="B8" t="s">
        <v>114</v>
      </c>
      <c r="C8" t="s">
        <v>85</v>
      </c>
      <c r="D8" t="s">
        <v>86</v>
      </c>
    </row>
    <row r="9" spans="1:4" x14ac:dyDescent="0.25">
      <c r="A9" t="s">
        <v>22</v>
      </c>
      <c r="B9" t="s">
        <v>115</v>
      </c>
      <c r="C9" t="s">
        <v>63</v>
      </c>
      <c r="D9" t="s">
        <v>64</v>
      </c>
    </row>
    <row r="10" spans="1:4" x14ac:dyDescent="0.25">
      <c r="A10" t="s">
        <v>34</v>
      </c>
      <c r="B10" t="s">
        <v>116</v>
      </c>
      <c r="C10" t="s">
        <v>87</v>
      </c>
      <c r="D10" t="s">
        <v>88</v>
      </c>
    </row>
    <row r="11" spans="1:4" x14ac:dyDescent="0.25">
      <c r="A11" t="s">
        <v>24</v>
      </c>
      <c r="B11" t="s">
        <v>117</v>
      </c>
      <c r="C11" t="s">
        <v>67</v>
      </c>
      <c r="D11" t="s">
        <v>68</v>
      </c>
    </row>
    <row r="12" spans="1:4" x14ac:dyDescent="0.25">
      <c r="A12" t="s">
        <v>36</v>
      </c>
      <c r="B12" t="s">
        <v>118</v>
      </c>
      <c r="C12" t="s">
        <v>91</v>
      </c>
      <c r="D12" t="s">
        <v>92</v>
      </c>
    </row>
    <row r="13" spans="1:4" x14ac:dyDescent="0.25">
      <c r="A13" t="s">
        <v>37</v>
      </c>
      <c r="B13" t="s">
        <v>119</v>
      </c>
      <c r="C13" t="s">
        <v>93</v>
      </c>
      <c r="D13" t="s">
        <v>94</v>
      </c>
    </row>
    <row r="14" spans="1:4" x14ac:dyDescent="0.25">
      <c r="A14" t="s">
        <v>31</v>
      </c>
      <c r="B14" t="s">
        <v>120</v>
      </c>
      <c r="C14" t="s">
        <v>81</v>
      </c>
      <c r="D14" t="s">
        <v>82</v>
      </c>
    </row>
    <row r="15" spans="1:4" x14ac:dyDescent="0.25">
      <c r="A15" t="s">
        <v>30</v>
      </c>
      <c r="B15" t="s">
        <v>121</v>
      </c>
      <c r="C15" t="s">
        <v>79</v>
      </c>
      <c r="D15" t="s">
        <v>80</v>
      </c>
    </row>
    <row r="16" spans="1:4" x14ac:dyDescent="0.25">
      <c r="A16" t="s">
        <v>35</v>
      </c>
      <c r="B16" t="s">
        <v>122</v>
      </c>
      <c r="C16" t="s">
        <v>89</v>
      </c>
      <c r="D16" t="s">
        <v>90</v>
      </c>
    </row>
    <row r="17" spans="1:4" x14ac:dyDescent="0.25">
      <c r="A17" t="s">
        <v>16</v>
      </c>
      <c r="B17" t="s">
        <v>123</v>
      </c>
      <c r="C17" t="s">
        <v>51</v>
      </c>
      <c r="D17" t="s">
        <v>52</v>
      </c>
    </row>
    <row r="18" spans="1:4" x14ac:dyDescent="0.25">
      <c r="A18" t="s">
        <v>38</v>
      </c>
      <c r="B18" t="s">
        <v>124</v>
      </c>
      <c r="C18" t="s">
        <v>95</v>
      </c>
      <c r="D18" t="s">
        <v>96</v>
      </c>
    </row>
    <row r="19" spans="1:4" x14ac:dyDescent="0.25">
      <c r="A19" t="s">
        <v>23</v>
      </c>
      <c r="B19" t="s">
        <v>125</v>
      </c>
      <c r="C19" t="s">
        <v>65</v>
      </c>
      <c r="D19" t="s">
        <v>66</v>
      </c>
    </row>
    <row r="20" spans="1:4" x14ac:dyDescent="0.25">
      <c r="A20" t="s">
        <v>32</v>
      </c>
      <c r="B20" t="s">
        <v>126</v>
      </c>
      <c r="C20" t="s">
        <v>83</v>
      </c>
      <c r="D20" t="s">
        <v>84</v>
      </c>
    </row>
    <row r="21" spans="1:4" x14ac:dyDescent="0.25">
      <c r="A21" t="s">
        <v>17</v>
      </c>
      <c r="B21" t="s">
        <v>127</v>
      </c>
      <c r="C21" t="s">
        <v>53</v>
      </c>
      <c r="D21" t="s">
        <v>54</v>
      </c>
    </row>
    <row r="22" spans="1:4" x14ac:dyDescent="0.25">
      <c r="A22" t="s">
        <v>13</v>
      </c>
      <c r="B22" t="s">
        <v>128</v>
      </c>
      <c r="C22" t="s">
        <v>45</v>
      </c>
      <c r="D22" t="s">
        <v>46</v>
      </c>
    </row>
    <row r="23" spans="1:4" x14ac:dyDescent="0.25">
      <c r="A23" t="s">
        <v>21</v>
      </c>
      <c r="B23" t="s">
        <v>129</v>
      </c>
      <c r="C23" t="s">
        <v>61</v>
      </c>
      <c r="D23" t="s">
        <v>62</v>
      </c>
    </row>
    <row r="24" spans="1:4" x14ac:dyDescent="0.25">
      <c r="A24" t="s">
        <v>12</v>
      </c>
      <c r="B24" t="s">
        <v>130</v>
      </c>
      <c r="C24" t="s">
        <v>43</v>
      </c>
      <c r="D24" t="s">
        <v>44</v>
      </c>
    </row>
    <row r="25" spans="1:4" x14ac:dyDescent="0.25">
      <c r="A25" t="s">
        <v>15</v>
      </c>
      <c r="B25" t="s">
        <v>131</v>
      </c>
      <c r="C25" t="s">
        <v>49</v>
      </c>
      <c r="D25" t="s">
        <v>50</v>
      </c>
    </row>
    <row r="26" spans="1:4" x14ac:dyDescent="0.25">
      <c r="A26" t="s">
        <v>26</v>
      </c>
      <c r="B26" t="s">
        <v>132</v>
      </c>
      <c r="C26" t="s">
        <v>71</v>
      </c>
      <c r="D26" t="s">
        <v>72</v>
      </c>
    </row>
    <row r="27" spans="1:4" x14ac:dyDescent="0.25">
      <c r="A27" t="s">
        <v>14</v>
      </c>
      <c r="B27" t="s">
        <v>133</v>
      </c>
      <c r="C27" t="s">
        <v>47</v>
      </c>
      <c r="D27" t="s">
        <v>48</v>
      </c>
    </row>
    <row r="28" spans="1:4" x14ac:dyDescent="0.25">
      <c r="A28" t="s">
        <v>25</v>
      </c>
      <c r="B28" t="s">
        <v>134</v>
      </c>
      <c r="C28" t="s">
        <v>69</v>
      </c>
      <c r="D28" t="s">
        <v>70</v>
      </c>
    </row>
    <row r="29" spans="1:4" x14ac:dyDescent="0.25">
      <c r="A29" t="s">
        <v>20</v>
      </c>
      <c r="B29" t="s">
        <v>135</v>
      </c>
      <c r="C29" t="s">
        <v>59</v>
      </c>
      <c r="D29" t="s">
        <v>60</v>
      </c>
    </row>
  </sheetData>
  <sortState ref="C2:E29">
    <sortCondition ref="C2:C29"/>
    <sortCondition ref="D2:D29"/>
    <sortCondition ref="E2:E29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30" zoomScaleNormal="130" workbookViewId="0">
      <selection sqref="A1:B5"/>
    </sheetView>
  </sheetViews>
  <sheetFormatPr defaultColWidth="11" defaultRowHeight="15.75" x14ac:dyDescent="0.25"/>
  <cols>
    <col min="1" max="1" width="8.75" bestFit="1" customWidth="1"/>
    <col min="2" max="2" width="10" customWidth="1"/>
  </cols>
  <sheetData>
    <row r="1" spans="1:2" ht="23.25" x14ac:dyDescent="0.35">
      <c r="A1" s="2" t="s">
        <v>97</v>
      </c>
      <c r="B1" s="9" t="s">
        <v>140</v>
      </c>
    </row>
    <row r="2" spans="1:2" x14ac:dyDescent="0.25">
      <c r="A2" t="s">
        <v>105</v>
      </c>
      <c r="B2" t="s">
        <v>237</v>
      </c>
    </row>
    <row r="3" spans="1:2" x14ac:dyDescent="0.25">
      <c r="A3" t="s">
        <v>103</v>
      </c>
      <c r="B3" t="s">
        <v>236</v>
      </c>
    </row>
    <row r="4" spans="1:2" x14ac:dyDescent="0.25">
      <c r="A4" t="s">
        <v>101</v>
      </c>
      <c r="B4" t="s">
        <v>235</v>
      </c>
    </row>
    <row r="5" spans="1:2" x14ac:dyDescent="0.25">
      <c r="A5" t="s">
        <v>99</v>
      </c>
      <c r="B5" t="s">
        <v>234</v>
      </c>
    </row>
  </sheetData>
  <sortState ref="A2:B5">
    <sortCondition ref="A2:A5"/>
    <sortCondition ref="B2:B5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30" zoomScaleNormal="130" workbookViewId="0">
      <selection sqref="A1:B6"/>
    </sheetView>
  </sheetViews>
  <sheetFormatPr defaultColWidth="11" defaultRowHeight="15.75" x14ac:dyDescent="0.25"/>
  <cols>
    <col min="1" max="1" width="13.25" customWidth="1"/>
    <col min="2" max="2" width="12" customWidth="1"/>
  </cols>
  <sheetData>
    <row r="1" spans="1:2" ht="23.25" x14ac:dyDescent="0.35">
      <c r="A1" s="2" t="s">
        <v>6</v>
      </c>
      <c r="B1" s="11" t="s">
        <v>141</v>
      </c>
    </row>
    <row r="2" spans="1:2" x14ac:dyDescent="0.25">
      <c r="A2" t="s">
        <v>7</v>
      </c>
      <c r="B2" t="s">
        <v>238</v>
      </c>
    </row>
    <row r="3" spans="1:2" x14ac:dyDescent="0.25">
      <c r="A3" t="s">
        <v>9</v>
      </c>
      <c r="B3" t="s">
        <v>239</v>
      </c>
    </row>
    <row r="4" spans="1:2" x14ac:dyDescent="0.25">
      <c r="A4" t="s">
        <v>106</v>
      </c>
      <c r="B4" t="s">
        <v>240</v>
      </c>
    </row>
    <row r="5" spans="1:2" x14ac:dyDescent="0.25">
      <c r="A5" t="s">
        <v>8</v>
      </c>
      <c r="B5" t="s">
        <v>241</v>
      </c>
    </row>
    <row r="6" spans="1:2" x14ac:dyDescent="0.25">
      <c r="A6" t="s">
        <v>10</v>
      </c>
      <c r="B6" t="s">
        <v>242</v>
      </c>
    </row>
  </sheetData>
  <sortState ref="A2:B6">
    <sortCondition ref="A2:A6"/>
    <sortCondition ref="B2:B6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2"/>
  <sheetViews>
    <sheetView tabSelected="1" zoomScaleNormal="100" workbookViewId="0">
      <selection activeCell="N14" sqref="N14"/>
    </sheetView>
  </sheetViews>
  <sheetFormatPr defaultColWidth="11" defaultRowHeight="15.75" x14ac:dyDescent="0.25"/>
  <cols>
    <col min="2" max="2" width="10.75" style="4" customWidth="1"/>
    <col min="3" max="3" width="13.875" style="4" customWidth="1"/>
    <col min="4" max="4" width="12.625" style="4" customWidth="1"/>
    <col min="5" max="5" width="13" style="14" customWidth="1"/>
    <col min="6" max="6" width="17.75" style="14" customWidth="1"/>
    <col min="7" max="7" width="13.625" customWidth="1"/>
    <col min="8" max="8" width="9.875" customWidth="1"/>
    <col min="9" max="9" width="19.5" customWidth="1"/>
  </cols>
  <sheetData>
    <row r="1" spans="1:9" ht="23.25" x14ac:dyDescent="0.35">
      <c r="A1" s="11" t="s">
        <v>142</v>
      </c>
      <c r="B1" s="3" t="s">
        <v>0</v>
      </c>
      <c r="C1" s="3" t="s">
        <v>107</v>
      </c>
      <c r="D1" s="3" t="s">
        <v>139</v>
      </c>
      <c r="E1" s="2" t="s">
        <v>140</v>
      </c>
      <c r="F1" s="2" t="s">
        <v>141</v>
      </c>
      <c r="G1" s="2" t="s">
        <v>1</v>
      </c>
      <c r="H1" s="2" t="s">
        <v>2</v>
      </c>
      <c r="I1" s="2" t="s">
        <v>3</v>
      </c>
    </row>
    <row r="2" spans="1:9" x14ac:dyDescent="0.25">
      <c r="A2" t="s">
        <v>143</v>
      </c>
      <c r="B2" s="4">
        <v>45076</v>
      </c>
      <c r="C2" s="4" t="s">
        <v>108</v>
      </c>
      <c r="D2" s="4" t="s">
        <v>136</v>
      </c>
      <c r="E2" s="14" t="s">
        <v>234</v>
      </c>
      <c r="F2" s="14" t="s">
        <v>242</v>
      </c>
      <c r="G2" s="6">
        <v>4500</v>
      </c>
      <c r="H2" s="6">
        <v>598</v>
      </c>
      <c r="I2" s="5">
        <f>IFERROR(H2/G2, 0)</f>
        <v>0.13288888888888889</v>
      </c>
    </row>
    <row r="3" spans="1:9" x14ac:dyDescent="0.25">
      <c r="A3" t="s">
        <v>144</v>
      </c>
      <c r="B3" s="4">
        <v>45077</v>
      </c>
      <c r="C3" s="4" t="s">
        <v>130</v>
      </c>
      <c r="D3" s="4" t="s">
        <v>137</v>
      </c>
      <c r="E3" s="14" t="s">
        <v>235</v>
      </c>
      <c r="F3" s="14" t="s">
        <v>241</v>
      </c>
      <c r="G3" s="6">
        <v>3800</v>
      </c>
      <c r="H3" s="6">
        <v>1045</v>
      </c>
      <c r="I3" s="5">
        <f t="shared" ref="I3:I30" si="0">IFERROR(H3/G3, 0)</f>
        <v>0.27500000000000002</v>
      </c>
    </row>
    <row r="4" spans="1:9" x14ac:dyDescent="0.25">
      <c r="A4" t="s">
        <v>148</v>
      </c>
      <c r="B4" s="4">
        <v>45078</v>
      </c>
      <c r="C4" s="4" t="s">
        <v>128</v>
      </c>
      <c r="D4" s="4" t="s">
        <v>137</v>
      </c>
      <c r="E4" s="14" t="s">
        <v>235</v>
      </c>
      <c r="F4" s="14" t="s">
        <v>240</v>
      </c>
      <c r="G4" s="6">
        <v>3712.5</v>
      </c>
      <c r="H4" s="6">
        <v>1009</v>
      </c>
      <c r="I4" s="5">
        <f t="shared" si="0"/>
        <v>0.2717845117845118</v>
      </c>
    </row>
    <row r="5" spans="1:9" x14ac:dyDescent="0.25">
      <c r="A5" t="s">
        <v>147</v>
      </c>
      <c r="B5" s="4">
        <v>45079</v>
      </c>
      <c r="C5" s="4" t="s">
        <v>133</v>
      </c>
      <c r="D5" s="4" t="s">
        <v>138</v>
      </c>
      <c r="E5" s="14" t="s">
        <v>236</v>
      </c>
      <c r="F5" s="14" t="s">
        <v>240</v>
      </c>
      <c r="G5" s="8">
        <v>4994.2241379310344</v>
      </c>
      <c r="H5" s="6">
        <v>779</v>
      </c>
      <c r="I5" s="5">
        <f t="shared" si="0"/>
        <v>0.15598018400566172</v>
      </c>
    </row>
    <row r="6" spans="1:9" x14ac:dyDescent="0.25">
      <c r="A6" t="s">
        <v>146</v>
      </c>
      <c r="B6" s="4">
        <v>45080</v>
      </c>
      <c r="C6" s="4" t="s">
        <v>131</v>
      </c>
      <c r="D6" s="4" t="s">
        <v>138</v>
      </c>
      <c r="E6" s="14" t="s">
        <v>236</v>
      </c>
      <c r="F6" s="14" t="s">
        <v>239</v>
      </c>
      <c r="G6" s="6">
        <v>5000</v>
      </c>
      <c r="H6" s="6">
        <v>684</v>
      </c>
      <c r="I6" s="5">
        <f t="shared" si="0"/>
        <v>0.1368</v>
      </c>
    </row>
    <row r="7" spans="1:9" x14ac:dyDescent="0.25">
      <c r="A7" t="s">
        <v>149</v>
      </c>
      <c r="B7" s="4">
        <v>45081</v>
      </c>
      <c r="C7" s="4" t="s">
        <v>123</v>
      </c>
      <c r="D7" s="4" t="s">
        <v>136</v>
      </c>
      <c r="E7" s="14" t="s">
        <v>234</v>
      </c>
      <c r="F7" s="14" t="s">
        <v>242</v>
      </c>
      <c r="G7" s="6">
        <v>6100</v>
      </c>
      <c r="H7" s="6">
        <v>544</v>
      </c>
      <c r="I7" s="5">
        <f t="shared" si="0"/>
        <v>8.9180327868852466E-2</v>
      </c>
    </row>
    <row r="8" spans="1:9" x14ac:dyDescent="0.25">
      <c r="A8" t="s">
        <v>150</v>
      </c>
      <c r="B8" s="4">
        <v>45082</v>
      </c>
      <c r="C8" s="4" t="s">
        <v>127</v>
      </c>
      <c r="D8" s="4" t="s">
        <v>136</v>
      </c>
      <c r="E8" s="14" t="s">
        <v>234</v>
      </c>
      <c r="F8" s="14" t="s">
        <v>242</v>
      </c>
      <c r="G8" s="6">
        <v>4625</v>
      </c>
      <c r="H8" s="6">
        <v>670</v>
      </c>
      <c r="I8" s="5">
        <f t="shared" si="0"/>
        <v>0.14486486486486486</v>
      </c>
    </row>
    <row r="9" spans="1:9" x14ac:dyDescent="0.25">
      <c r="A9" t="s">
        <v>151</v>
      </c>
      <c r="B9" s="4">
        <v>45083</v>
      </c>
      <c r="C9" s="4" t="s">
        <v>113</v>
      </c>
      <c r="D9" s="4" t="s">
        <v>136</v>
      </c>
      <c r="E9" s="14" t="s">
        <v>234</v>
      </c>
      <c r="F9" s="14" t="s">
        <v>242</v>
      </c>
      <c r="G9" s="6">
        <v>3800</v>
      </c>
      <c r="H9" s="6">
        <v>2045</v>
      </c>
      <c r="I9" s="5">
        <f t="shared" si="0"/>
        <v>0.53815789473684206</v>
      </c>
    </row>
    <row r="10" spans="1:9" x14ac:dyDescent="0.25">
      <c r="A10" t="s">
        <v>145</v>
      </c>
      <c r="B10" s="4">
        <v>45084</v>
      </c>
      <c r="C10" s="4" t="s">
        <v>110</v>
      </c>
      <c r="D10" s="4" t="s">
        <v>136</v>
      </c>
      <c r="E10" s="14" t="s">
        <v>234</v>
      </c>
      <c r="F10" s="14" t="s">
        <v>238</v>
      </c>
      <c r="G10" s="6">
        <v>3600</v>
      </c>
      <c r="H10" s="6">
        <v>1564</v>
      </c>
      <c r="I10" s="5">
        <f t="shared" si="0"/>
        <v>0.43444444444444447</v>
      </c>
    </row>
    <row r="11" spans="1:9" x14ac:dyDescent="0.25">
      <c r="A11" t="s">
        <v>152</v>
      </c>
      <c r="B11" s="4">
        <v>45085</v>
      </c>
      <c r="C11" s="4" t="s">
        <v>135</v>
      </c>
      <c r="D11" s="4" t="s">
        <v>136</v>
      </c>
      <c r="E11" s="14" t="s">
        <v>234</v>
      </c>
      <c r="F11" s="14" t="s">
        <v>239</v>
      </c>
      <c r="G11" s="6">
        <v>5100</v>
      </c>
      <c r="H11" s="6">
        <v>1220</v>
      </c>
      <c r="I11" s="5">
        <f t="shared" si="0"/>
        <v>0.23921568627450981</v>
      </c>
    </row>
    <row r="12" spans="1:9" x14ac:dyDescent="0.25">
      <c r="A12" t="s">
        <v>153</v>
      </c>
      <c r="B12" s="4">
        <v>45086</v>
      </c>
      <c r="C12" s="4" t="s">
        <v>129</v>
      </c>
      <c r="D12" s="4" t="s">
        <v>136</v>
      </c>
      <c r="E12" s="14" t="s">
        <v>234</v>
      </c>
      <c r="F12" s="14" t="s">
        <v>239</v>
      </c>
      <c r="G12" s="6">
        <v>4750</v>
      </c>
      <c r="H12" s="6">
        <v>1435</v>
      </c>
      <c r="I12" s="5">
        <f t="shared" si="0"/>
        <v>0.30210526315789471</v>
      </c>
    </row>
    <row r="13" spans="1:9" x14ac:dyDescent="0.25">
      <c r="A13" t="s">
        <v>154</v>
      </c>
      <c r="B13" s="4">
        <v>45087</v>
      </c>
      <c r="C13" s="4" t="s">
        <v>115</v>
      </c>
      <c r="D13" s="4" t="s">
        <v>138</v>
      </c>
      <c r="E13" s="14" t="s">
        <v>236</v>
      </c>
      <c r="F13" s="14" t="s">
        <v>242</v>
      </c>
      <c r="G13" s="6">
        <v>6000</v>
      </c>
      <c r="H13" s="6">
        <v>998</v>
      </c>
      <c r="I13" s="5">
        <f t="shared" si="0"/>
        <v>0.16633333333333333</v>
      </c>
    </row>
    <row r="14" spans="1:9" x14ac:dyDescent="0.25">
      <c r="A14" t="s">
        <v>155</v>
      </c>
      <c r="B14" s="4">
        <v>45088</v>
      </c>
      <c r="C14" s="4" t="s">
        <v>125</v>
      </c>
      <c r="D14" s="4" t="s">
        <v>171</v>
      </c>
      <c r="E14" s="14" t="s">
        <v>237</v>
      </c>
      <c r="F14" s="14" t="s">
        <v>239</v>
      </c>
      <c r="G14" s="6">
        <v>4500</v>
      </c>
      <c r="H14" s="6">
        <v>780</v>
      </c>
      <c r="I14" s="5">
        <f t="shared" si="0"/>
        <v>0.17333333333333334</v>
      </c>
    </row>
    <row r="15" spans="1:9" x14ac:dyDescent="0.25">
      <c r="A15" t="s">
        <v>156</v>
      </c>
      <c r="B15" s="4">
        <v>45089</v>
      </c>
      <c r="C15" s="4" t="s">
        <v>117</v>
      </c>
      <c r="D15" s="4" t="s">
        <v>171</v>
      </c>
      <c r="E15" s="14" t="s">
        <v>237</v>
      </c>
      <c r="F15" s="14" t="s">
        <v>238</v>
      </c>
      <c r="G15" s="8">
        <v>4994.2241379310344</v>
      </c>
      <c r="H15" s="6">
        <v>1044</v>
      </c>
      <c r="I15" s="5">
        <f t="shared" si="0"/>
        <v>0.20904147894982134</v>
      </c>
    </row>
    <row r="16" spans="1:9" x14ac:dyDescent="0.25">
      <c r="A16" t="s">
        <v>157</v>
      </c>
      <c r="B16" s="4">
        <v>45090</v>
      </c>
      <c r="C16" s="4" t="s">
        <v>134</v>
      </c>
      <c r="D16" s="4" t="s">
        <v>171</v>
      </c>
      <c r="E16" s="14" t="s">
        <v>237</v>
      </c>
      <c r="F16" s="14" t="s">
        <v>242</v>
      </c>
      <c r="G16" s="6">
        <v>3712.5</v>
      </c>
      <c r="H16" s="6">
        <v>1222</v>
      </c>
      <c r="I16" s="5">
        <f t="shared" si="0"/>
        <v>0.32915824915824915</v>
      </c>
    </row>
    <row r="17" spans="1:9" x14ac:dyDescent="0.25">
      <c r="A17" t="s">
        <v>158</v>
      </c>
      <c r="B17" s="4">
        <v>45091</v>
      </c>
      <c r="C17" s="4" t="s">
        <v>132</v>
      </c>
      <c r="D17" s="4" t="s">
        <v>171</v>
      </c>
      <c r="E17" s="14" t="s">
        <v>237</v>
      </c>
      <c r="F17" s="14" t="s">
        <v>242</v>
      </c>
      <c r="G17" s="6">
        <v>4950</v>
      </c>
      <c r="H17" s="6">
        <v>1065</v>
      </c>
      <c r="I17" s="5">
        <f t="shared" si="0"/>
        <v>0.21515151515151515</v>
      </c>
    </row>
    <row r="18" spans="1:9" x14ac:dyDescent="0.25">
      <c r="A18" t="s">
        <v>159</v>
      </c>
      <c r="B18" s="4">
        <v>45092</v>
      </c>
      <c r="C18" s="4" t="s">
        <v>112</v>
      </c>
      <c r="D18" s="4" t="s">
        <v>138</v>
      </c>
      <c r="E18" s="14" t="s">
        <v>236</v>
      </c>
      <c r="F18" s="14" t="s">
        <v>242</v>
      </c>
      <c r="G18" s="6">
        <v>4750</v>
      </c>
      <c r="H18" s="6">
        <v>810</v>
      </c>
      <c r="I18" s="5">
        <f t="shared" si="0"/>
        <v>0.17052631578947369</v>
      </c>
    </row>
    <row r="19" spans="1:9" x14ac:dyDescent="0.25">
      <c r="A19" t="s">
        <v>160</v>
      </c>
      <c r="B19" s="4">
        <v>45093</v>
      </c>
      <c r="C19" s="4" t="s">
        <v>111</v>
      </c>
      <c r="D19" s="4" t="s">
        <v>138</v>
      </c>
      <c r="E19" s="14" t="s">
        <v>236</v>
      </c>
      <c r="F19" s="14" t="s">
        <v>242</v>
      </c>
      <c r="G19" s="6">
        <v>7320</v>
      </c>
      <c r="H19" s="6">
        <v>933</v>
      </c>
      <c r="I19" s="5">
        <f t="shared" si="0"/>
        <v>0.12745901639344262</v>
      </c>
    </row>
    <row r="20" spans="1:9" x14ac:dyDescent="0.25">
      <c r="A20" t="s">
        <v>161</v>
      </c>
      <c r="B20" s="4">
        <v>45096</v>
      </c>
      <c r="C20" s="4" t="s">
        <v>109</v>
      </c>
      <c r="D20" s="4" t="s">
        <v>171</v>
      </c>
      <c r="E20" s="14" t="s">
        <v>237</v>
      </c>
      <c r="F20" s="14" t="s">
        <v>242</v>
      </c>
      <c r="G20" s="6">
        <v>5087.5</v>
      </c>
      <c r="H20" s="6">
        <v>655</v>
      </c>
      <c r="I20" s="5">
        <f t="shared" si="0"/>
        <v>0.12874692874692875</v>
      </c>
    </row>
    <row r="21" spans="1:9" x14ac:dyDescent="0.25">
      <c r="A21" t="s">
        <v>162</v>
      </c>
      <c r="B21" s="4">
        <v>45097</v>
      </c>
      <c r="C21" s="4" t="s">
        <v>121</v>
      </c>
      <c r="D21" s="4" t="s">
        <v>171</v>
      </c>
      <c r="E21" s="14" t="s">
        <v>237</v>
      </c>
      <c r="F21" s="14" t="s">
        <v>242</v>
      </c>
      <c r="G21" s="6">
        <v>4500</v>
      </c>
      <c r="H21" s="6">
        <v>722</v>
      </c>
      <c r="I21" s="5">
        <f t="shared" si="0"/>
        <v>0.16044444444444445</v>
      </c>
    </row>
    <row r="22" spans="1:9" x14ac:dyDescent="0.25">
      <c r="A22" t="s">
        <v>163</v>
      </c>
      <c r="B22" s="4">
        <v>45098</v>
      </c>
      <c r="C22" s="4" t="s">
        <v>120</v>
      </c>
      <c r="D22" s="4" t="s">
        <v>171</v>
      </c>
      <c r="E22" s="14" t="s">
        <v>237</v>
      </c>
      <c r="F22" s="14" t="s">
        <v>238</v>
      </c>
      <c r="G22" s="6">
        <v>4250</v>
      </c>
      <c r="H22" s="6">
        <v>901</v>
      </c>
      <c r="I22" s="5">
        <f t="shared" si="0"/>
        <v>0.21199999999999999</v>
      </c>
    </row>
    <row r="23" spans="1:9" x14ac:dyDescent="0.25">
      <c r="A23" t="s">
        <v>164</v>
      </c>
      <c r="B23" s="4">
        <v>45099</v>
      </c>
      <c r="C23" s="4" t="s">
        <v>126</v>
      </c>
      <c r="D23" s="4" t="s">
        <v>171</v>
      </c>
      <c r="E23" s="14" t="s">
        <v>237</v>
      </c>
      <c r="F23" s="14" t="s">
        <v>241</v>
      </c>
      <c r="G23" s="6">
        <v>5250</v>
      </c>
      <c r="H23" s="6">
        <v>1349</v>
      </c>
      <c r="I23" s="5">
        <f t="shared" si="0"/>
        <v>0.25695238095238093</v>
      </c>
    </row>
    <row r="24" spans="1:9" x14ac:dyDescent="0.25">
      <c r="A24" t="s">
        <v>165</v>
      </c>
      <c r="B24" s="4">
        <v>45100</v>
      </c>
      <c r="C24" s="4" t="s">
        <v>114</v>
      </c>
      <c r="D24" s="4" t="s">
        <v>137</v>
      </c>
      <c r="E24" s="14" t="s">
        <v>235</v>
      </c>
      <c r="F24" s="14" t="s">
        <v>241</v>
      </c>
      <c r="G24" s="6">
        <v>6500</v>
      </c>
      <c r="H24" s="6">
        <v>1288</v>
      </c>
      <c r="I24" s="5">
        <f t="shared" si="0"/>
        <v>0.19815384615384615</v>
      </c>
    </row>
    <row r="25" spans="1:9" x14ac:dyDescent="0.25">
      <c r="A25" t="s">
        <v>166</v>
      </c>
      <c r="B25" s="4">
        <v>45101</v>
      </c>
      <c r="C25" s="4" t="s">
        <v>116</v>
      </c>
      <c r="D25" s="4" t="s">
        <v>137</v>
      </c>
      <c r="E25" s="14" t="s">
        <v>235</v>
      </c>
      <c r="F25" s="14" t="s">
        <v>241</v>
      </c>
      <c r="G25" s="6">
        <v>7500</v>
      </c>
      <c r="H25" s="6">
        <v>1664</v>
      </c>
      <c r="I25" s="5">
        <f t="shared" si="0"/>
        <v>0.22186666666666666</v>
      </c>
    </row>
    <row r="26" spans="1:9" x14ac:dyDescent="0.25">
      <c r="A26" t="s">
        <v>167</v>
      </c>
      <c r="B26" s="4">
        <v>45102</v>
      </c>
      <c r="C26" s="4" t="s">
        <v>122</v>
      </c>
      <c r="D26" s="4" t="s">
        <v>137</v>
      </c>
      <c r="E26" s="14" t="s">
        <v>235</v>
      </c>
      <c r="F26" s="14" t="s">
        <v>242</v>
      </c>
      <c r="G26" s="6">
        <v>5500</v>
      </c>
      <c r="H26" s="6">
        <v>1320</v>
      </c>
      <c r="I26" s="5">
        <f t="shared" si="0"/>
        <v>0.24</v>
      </c>
    </row>
    <row r="27" spans="1:9" x14ac:dyDescent="0.25">
      <c r="A27" t="s">
        <v>168</v>
      </c>
      <c r="B27" s="4">
        <v>45103</v>
      </c>
      <c r="C27" s="4" t="s">
        <v>118</v>
      </c>
      <c r="D27" s="4" t="s">
        <v>137</v>
      </c>
      <c r="E27" s="14" t="s">
        <v>235</v>
      </c>
      <c r="F27" s="14" t="s">
        <v>242</v>
      </c>
      <c r="G27" s="6">
        <v>4625</v>
      </c>
      <c r="H27" s="6">
        <v>1001</v>
      </c>
      <c r="I27" s="5">
        <f t="shared" si="0"/>
        <v>0.21643243243243243</v>
      </c>
    </row>
    <row r="28" spans="1:9" x14ac:dyDescent="0.25">
      <c r="A28" t="s">
        <v>169</v>
      </c>
      <c r="B28" s="4">
        <v>45104</v>
      </c>
      <c r="C28" s="4" t="s">
        <v>119</v>
      </c>
      <c r="D28" s="4" t="s">
        <v>137</v>
      </c>
      <c r="E28" s="14" t="s">
        <v>235</v>
      </c>
      <c r="F28" s="14" t="s">
        <v>242</v>
      </c>
      <c r="G28" s="6">
        <v>4500</v>
      </c>
      <c r="H28" s="6">
        <v>960</v>
      </c>
      <c r="I28" s="5">
        <f t="shared" si="0"/>
        <v>0.21333333333333335</v>
      </c>
    </row>
    <row r="29" spans="1:9" x14ac:dyDescent="0.25">
      <c r="A29" t="s">
        <v>170</v>
      </c>
      <c r="B29" s="4">
        <v>45105</v>
      </c>
      <c r="C29" s="4" t="s">
        <v>124</v>
      </c>
      <c r="D29" s="4" t="s">
        <v>137</v>
      </c>
      <c r="E29" s="14" t="s">
        <v>235</v>
      </c>
      <c r="F29" s="14" t="s">
        <v>238</v>
      </c>
      <c r="G29" s="6">
        <v>5400</v>
      </c>
      <c r="H29" s="6">
        <v>540</v>
      </c>
      <c r="I29" s="5">
        <f t="shared" si="0"/>
        <v>0.1</v>
      </c>
    </row>
    <row r="30" spans="1:9" s="14" customFormat="1" x14ac:dyDescent="0.25">
      <c r="A30" s="14" t="s">
        <v>233</v>
      </c>
      <c r="B30" s="15">
        <v>45109</v>
      </c>
      <c r="C30" s="15" t="s">
        <v>125</v>
      </c>
      <c r="D30" s="15" t="s">
        <v>171</v>
      </c>
      <c r="E30" s="14" t="s">
        <v>237</v>
      </c>
      <c r="F30" s="14" t="s">
        <v>238</v>
      </c>
      <c r="G30" s="8">
        <v>5400</v>
      </c>
      <c r="H30" s="8">
        <v>540</v>
      </c>
      <c r="I30" s="16">
        <f t="shared" si="0"/>
        <v>0.1</v>
      </c>
    </row>
    <row r="31" spans="1:9" x14ac:dyDescent="0.25">
      <c r="G31" s="1"/>
    </row>
    <row r="32" spans="1:9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1048572" spans="7:7" x14ac:dyDescent="0.25">
      <c r="G1048572">
        <f>SUM(G1:G1048571)</f>
        <v>144720.94827586209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2"/>
  <sheetViews>
    <sheetView zoomScale="130" zoomScaleNormal="130" workbookViewId="0">
      <selection activeCell="G2" sqref="G2"/>
    </sheetView>
  </sheetViews>
  <sheetFormatPr defaultColWidth="11" defaultRowHeight="15.75" x14ac:dyDescent="0.25"/>
  <cols>
    <col min="1" max="1" width="10.875" style="4" bestFit="1" customWidth="1"/>
    <col min="2" max="2" width="32.875" bestFit="1" customWidth="1"/>
    <col min="3" max="3" width="15" bestFit="1" customWidth="1"/>
    <col min="4" max="4" width="14.625" bestFit="1" customWidth="1"/>
    <col min="5" max="5" width="16.875" bestFit="1" customWidth="1"/>
    <col min="6" max="6" width="8.75" bestFit="1" customWidth="1"/>
    <col min="7" max="7" width="12.5" bestFit="1" customWidth="1"/>
    <col min="8" max="8" width="12.375" bestFit="1" customWidth="1"/>
    <col min="9" max="9" width="9.25" bestFit="1" customWidth="1"/>
    <col min="10" max="10" width="18.25" bestFit="1" customWidth="1"/>
  </cols>
  <sheetData>
    <row r="1" spans="1:10" ht="23.25" x14ac:dyDescent="0.35">
      <c r="A1" s="3" t="s">
        <v>0</v>
      </c>
      <c r="B1" s="2" t="s">
        <v>4</v>
      </c>
      <c r="C1" s="2" t="s">
        <v>39</v>
      </c>
      <c r="D1" s="2" t="s">
        <v>40</v>
      </c>
      <c r="E1" s="2" t="s">
        <v>5</v>
      </c>
      <c r="F1" s="2" t="s">
        <v>97</v>
      </c>
      <c r="G1" s="2" t="s">
        <v>6</v>
      </c>
      <c r="H1" s="2" t="s">
        <v>1</v>
      </c>
      <c r="I1" s="2" t="s">
        <v>2</v>
      </c>
      <c r="J1" s="2" t="s">
        <v>3</v>
      </c>
    </row>
    <row r="2" spans="1:10" x14ac:dyDescent="0.25">
      <c r="A2" s="4">
        <v>45076</v>
      </c>
      <c r="B2" t="s">
        <v>11</v>
      </c>
      <c r="C2" t="s">
        <v>41</v>
      </c>
      <c r="D2" t="s">
        <v>42</v>
      </c>
      <c r="E2" t="s">
        <v>98</v>
      </c>
      <c r="F2" t="s">
        <v>99</v>
      </c>
      <c r="G2" t="s">
        <v>10</v>
      </c>
      <c r="H2" s="6">
        <v>4500</v>
      </c>
      <c r="I2" s="6">
        <v>598</v>
      </c>
      <c r="J2" s="5">
        <f>IFERROR(I2/H2, 0)</f>
        <v>0.13288888888888889</v>
      </c>
    </row>
    <row r="3" spans="1:10" x14ac:dyDescent="0.25">
      <c r="A3" s="4">
        <v>45077</v>
      </c>
      <c r="B3" t="s">
        <v>12</v>
      </c>
      <c r="C3" t="s">
        <v>43</v>
      </c>
      <c r="D3" t="s">
        <v>44</v>
      </c>
      <c r="E3" t="s">
        <v>100</v>
      </c>
      <c r="F3" t="s">
        <v>101</v>
      </c>
      <c r="G3" t="s">
        <v>8</v>
      </c>
      <c r="H3" s="6">
        <v>3800</v>
      </c>
      <c r="I3" s="6">
        <v>1045</v>
      </c>
      <c r="J3" s="5">
        <f t="shared" ref="J3:J29" si="0">IFERROR(I3/H3, 0)</f>
        <v>0.27500000000000002</v>
      </c>
    </row>
    <row r="4" spans="1:10" x14ac:dyDescent="0.25">
      <c r="A4" s="4">
        <v>45078</v>
      </c>
      <c r="B4" t="s">
        <v>13</v>
      </c>
      <c r="C4" t="s">
        <v>45</v>
      </c>
      <c r="D4" t="s">
        <v>46</v>
      </c>
      <c r="E4" t="s">
        <v>100</v>
      </c>
      <c r="F4" t="s">
        <v>101</v>
      </c>
      <c r="G4" t="s">
        <v>106</v>
      </c>
      <c r="H4" s="6">
        <v>3712.5</v>
      </c>
      <c r="I4" s="6">
        <v>1009</v>
      </c>
      <c r="J4" s="5">
        <f t="shared" si="0"/>
        <v>0.2717845117845118</v>
      </c>
    </row>
    <row r="5" spans="1:10" x14ac:dyDescent="0.25">
      <c r="A5" s="4">
        <v>45079</v>
      </c>
      <c r="B5" t="s">
        <v>14</v>
      </c>
      <c r="C5" t="s">
        <v>47</v>
      </c>
      <c r="D5" t="s">
        <v>48</v>
      </c>
      <c r="E5" t="s">
        <v>102</v>
      </c>
      <c r="F5" t="s">
        <v>103</v>
      </c>
      <c r="G5" t="s">
        <v>106</v>
      </c>
      <c r="H5" s="8">
        <v>4994.2241379310344</v>
      </c>
      <c r="I5" s="6">
        <v>779</v>
      </c>
      <c r="J5" s="5">
        <f t="shared" si="0"/>
        <v>0.15598018400566172</v>
      </c>
    </row>
    <row r="6" spans="1:10" x14ac:dyDescent="0.25">
      <c r="A6" s="4">
        <v>45080</v>
      </c>
      <c r="B6" t="s">
        <v>15</v>
      </c>
      <c r="C6" t="s">
        <v>49</v>
      </c>
      <c r="D6" t="s">
        <v>50</v>
      </c>
      <c r="E6" t="s">
        <v>102</v>
      </c>
      <c r="F6" t="s">
        <v>103</v>
      </c>
      <c r="G6" t="s">
        <v>9</v>
      </c>
      <c r="H6" s="6">
        <v>5000</v>
      </c>
      <c r="I6" s="6">
        <v>684</v>
      </c>
      <c r="J6" s="5">
        <f t="shared" si="0"/>
        <v>0.1368</v>
      </c>
    </row>
    <row r="7" spans="1:10" x14ac:dyDescent="0.25">
      <c r="A7" s="4">
        <v>45081</v>
      </c>
      <c r="B7" t="s">
        <v>16</v>
      </c>
      <c r="C7" t="s">
        <v>51</v>
      </c>
      <c r="D7" t="s">
        <v>52</v>
      </c>
      <c r="E7" t="s">
        <v>98</v>
      </c>
      <c r="F7" t="s">
        <v>99</v>
      </c>
      <c r="G7" t="s">
        <v>10</v>
      </c>
      <c r="H7" s="6">
        <v>6100</v>
      </c>
      <c r="I7" s="6">
        <v>544</v>
      </c>
      <c r="J7" s="5">
        <f t="shared" si="0"/>
        <v>8.9180327868852466E-2</v>
      </c>
    </row>
    <row r="8" spans="1:10" x14ac:dyDescent="0.25">
      <c r="A8" s="4">
        <v>45082</v>
      </c>
      <c r="B8" t="s">
        <v>17</v>
      </c>
      <c r="C8" t="s">
        <v>53</v>
      </c>
      <c r="D8" t="s">
        <v>54</v>
      </c>
      <c r="E8" t="s">
        <v>98</v>
      </c>
      <c r="F8" t="s">
        <v>99</v>
      </c>
      <c r="G8" t="s">
        <v>10</v>
      </c>
      <c r="H8" s="6">
        <v>4625</v>
      </c>
      <c r="I8" s="6">
        <v>670</v>
      </c>
      <c r="J8" s="5">
        <f t="shared" si="0"/>
        <v>0.14486486486486486</v>
      </c>
    </row>
    <row r="9" spans="1:10" x14ac:dyDescent="0.25">
      <c r="A9" s="4">
        <v>45083</v>
      </c>
      <c r="B9" t="s">
        <v>18</v>
      </c>
      <c r="C9" t="s">
        <v>55</v>
      </c>
      <c r="D9" t="s">
        <v>56</v>
      </c>
      <c r="E9" t="s">
        <v>98</v>
      </c>
      <c r="F9" t="s">
        <v>99</v>
      </c>
      <c r="G9" t="s">
        <v>10</v>
      </c>
      <c r="H9" s="6">
        <v>3800</v>
      </c>
      <c r="I9" s="6">
        <v>2045</v>
      </c>
      <c r="J9" s="5">
        <f t="shared" si="0"/>
        <v>0.53815789473684206</v>
      </c>
    </row>
    <row r="10" spans="1:10" x14ac:dyDescent="0.25">
      <c r="A10" s="4">
        <v>45084</v>
      </c>
      <c r="B10" t="s">
        <v>19</v>
      </c>
      <c r="C10" t="s">
        <v>57</v>
      </c>
      <c r="D10" t="s">
        <v>58</v>
      </c>
      <c r="E10" t="s">
        <v>98</v>
      </c>
      <c r="F10" t="s">
        <v>99</v>
      </c>
      <c r="G10" t="s">
        <v>7</v>
      </c>
      <c r="H10" s="6">
        <v>3600</v>
      </c>
      <c r="I10" s="6">
        <v>1564</v>
      </c>
      <c r="J10" s="5">
        <f t="shared" si="0"/>
        <v>0.43444444444444447</v>
      </c>
    </row>
    <row r="11" spans="1:10" x14ac:dyDescent="0.25">
      <c r="A11" s="4">
        <v>45085</v>
      </c>
      <c r="B11" t="s">
        <v>20</v>
      </c>
      <c r="C11" t="s">
        <v>59</v>
      </c>
      <c r="D11" t="s">
        <v>60</v>
      </c>
      <c r="E11" t="s">
        <v>98</v>
      </c>
      <c r="F11" t="s">
        <v>99</v>
      </c>
      <c r="G11" t="s">
        <v>9</v>
      </c>
      <c r="H11" s="6">
        <v>5100</v>
      </c>
      <c r="I11" s="6">
        <v>1220</v>
      </c>
      <c r="J11" s="5">
        <f t="shared" si="0"/>
        <v>0.23921568627450981</v>
      </c>
    </row>
    <row r="12" spans="1:10" x14ac:dyDescent="0.25">
      <c r="A12" s="4">
        <v>45086</v>
      </c>
      <c r="B12" t="s">
        <v>21</v>
      </c>
      <c r="C12" t="s">
        <v>61</v>
      </c>
      <c r="D12" t="s">
        <v>62</v>
      </c>
      <c r="E12" t="s">
        <v>98</v>
      </c>
      <c r="F12" t="s">
        <v>99</v>
      </c>
      <c r="G12" t="s">
        <v>9</v>
      </c>
      <c r="H12" s="6">
        <v>4750</v>
      </c>
      <c r="I12" s="6">
        <v>1435</v>
      </c>
      <c r="J12" s="5">
        <f t="shared" si="0"/>
        <v>0.30210526315789471</v>
      </c>
    </row>
    <row r="13" spans="1:10" x14ac:dyDescent="0.25">
      <c r="A13" s="4">
        <v>45087</v>
      </c>
      <c r="B13" t="s">
        <v>22</v>
      </c>
      <c r="C13" t="s">
        <v>63</v>
      </c>
      <c r="D13" t="s">
        <v>64</v>
      </c>
      <c r="E13" t="s">
        <v>102</v>
      </c>
      <c r="F13" t="s">
        <v>103</v>
      </c>
      <c r="G13" t="s">
        <v>10</v>
      </c>
      <c r="H13" s="6">
        <v>6000</v>
      </c>
      <c r="I13" s="6">
        <v>998</v>
      </c>
      <c r="J13" s="5">
        <f t="shared" si="0"/>
        <v>0.16633333333333333</v>
      </c>
    </row>
    <row r="14" spans="1:10" x14ac:dyDescent="0.25">
      <c r="A14" s="4">
        <v>45088</v>
      </c>
      <c r="B14" t="s">
        <v>23</v>
      </c>
      <c r="C14" t="s">
        <v>65</v>
      </c>
      <c r="D14" t="s">
        <v>66</v>
      </c>
      <c r="E14" t="s">
        <v>104</v>
      </c>
      <c r="F14" t="s">
        <v>105</v>
      </c>
      <c r="G14" t="s">
        <v>9</v>
      </c>
      <c r="H14" s="6">
        <v>4500</v>
      </c>
      <c r="I14" s="6">
        <v>780</v>
      </c>
      <c r="J14" s="5">
        <f t="shared" si="0"/>
        <v>0.17333333333333334</v>
      </c>
    </row>
    <row r="15" spans="1:10" x14ac:dyDescent="0.25">
      <c r="A15" s="4">
        <v>45089</v>
      </c>
      <c r="B15" t="s">
        <v>24</v>
      </c>
      <c r="C15" t="s">
        <v>67</v>
      </c>
      <c r="D15" t="s">
        <v>68</v>
      </c>
      <c r="E15" t="s">
        <v>104</v>
      </c>
      <c r="F15" t="s">
        <v>105</v>
      </c>
      <c r="G15" t="s">
        <v>7</v>
      </c>
      <c r="H15" s="8">
        <v>4994.2241379310344</v>
      </c>
      <c r="I15" s="6">
        <v>1044</v>
      </c>
      <c r="J15" s="5">
        <f t="shared" si="0"/>
        <v>0.20904147894982134</v>
      </c>
    </row>
    <row r="16" spans="1:10" x14ac:dyDescent="0.25">
      <c r="A16" s="4">
        <v>45090</v>
      </c>
      <c r="B16" t="s">
        <v>25</v>
      </c>
      <c r="C16" t="s">
        <v>69</v>
      </c>
      <c r="D16" t="s">
        <v>70</v>
      </c>
      <c r="E16" t="s">
        <v>104</v>
      </c>
      <c r="F16" t="s">
        <v>105</v>
      </c>
      <c r="G16" t="s">
        <v>10</v>
      </c>
      <c r="H16" s="6">
        <v>3712.5</v>
      </c>
      <c r="I16" s="6">
        <v>1222</v>
      </c>
      <c r="J16" s="5">
        <f t="shared" si="0"/>
        <v>0.32915824915824915</v>
      </c>
    </row>
    <row r="17" spans="1:10" x14ac:dyDescent="0.25">
      <c r="A17" s="4">
        <v>45091</v>
      </c>
      <c r="B17" t="s">
        <v>26</v>
      </c>
      <c r="C17" t="s">
        <v>71</v>
      </c>
      <c r="D17" t="s">
        <v>72</v>
      </c>
      <c r="E17" t="s">
        <v>104</v>
      </c>
      <c r="F17" t="s">
        <v>105</v>
      </c>
      <c r="G17" t="s">
        <v>10</v>
      </c>
      <c r="H17" s="6">
        <v>4950</v>
      </c>
      <c r="I17" s="6">
        <v>1065</v>
      </c>
      <c r="J17" s="5">
        <f t="shared" si="0"/>
        <v>0.21515151515151515</v>
      </c>
    </row>
    <row r="18" spans="1:10" x14ac:dyDescent="0.25">
      <c r="A18" s="4">
        <v>45092</v>
      </c>
      <c r="B18" t="s">
        <v>27</v>
      </c>
      <c r="C18" t="s">
        <v>73</v>
      </c>
      <c r="D18" t="s">
        <v>74</v>
      </c>
      <c r="E18" t="s">
        <v>102</v>
      </c>
      <c r="F18" t="s">
        <v>103</v>
      </c>
      <c r="G18" t="s">
        <v>10</v>
      </c>
      <c r="H18" s="6">
        <v>4750</v>
      </c>
      <c r="I18" s="6">
        <v>810</v>
      </c>
      <c r="J18" s="5">
        <f t="shared" si="0"/>
        <v>0.17052631578947369</v>
      </c>
    </row>
    <row r="19" spans="1:10" x14ac:dyDescent="0.25">
      <c r="A19" s="4">
        <v>45093</v>
      </c>
      <c r="B19" t="s">
        <v>28</v>
      </c>
      <c r="C19" t="s">
        <v>75</v>
      </c>
      <c r="D19" t="s">
        <v>76</v>
      </c>
      <c r="E19" t="s">
        <v>102</v>
      </c>
      <c r="F19" t="s">
        <v>103</v>
      </c>
      <c r="G19" t="s">
        <v>10</v>
      </c>
      <c r="H19" s="6">
        <v>7320</v>
      </c>
      <c r="I19" s="6">
        <v>933</v>
      </c>
      <c r="J19" s="5">
        <f t="shared" si="0"/>
        <v>0.12745901639344262</v>
      </c>
    </row>
    <row r="20" spans="1:10" x14ac:dyDescent="0.25">
      <c r="A20" s="4">
        <v>45096</v>
      </c>
      <c r="B20" t="s">
        <v>29</v>
      </c>
      <c r="C20" t="s">
        <v>77</v>
      </c>
      <c r="D20" t="s">
        <v>78</v>
      </c>
      <c r="E20" t="s">
        <v>104</v>
      </c>
      <c r="F20" t="s">
        <v>105</v>
      </c>
      <c r="G20" t="s">
        <v>10</v>
      </c>
      <c r="H20" s="6">
        <v>5087.5</v>
      </c>
      <c r="I20" s="6">
        <v>655</v>
      </c>
      <c r="J20" s="5">
        <f t="shared" si="0"/>
        <v>0.12874692874692875</v>
      </c>
    </row>
    <row r="21" spans="1:10" x14ac:dyDescent="0.25">
      <c r="A21" s="4">
        <v>45097</v>
      </c>
      <c r="B21" t="s">
        <v>30</v>
      </c>
      <c r="C21" t="s">
        <v>79</v>
      </c>
      <c r="D21" t="s">
        <v>80</v>
      </c>
      <c r="E21" t="s">
        <v>104</v>
      </c>
      <c r="F21" t="s">
        <v>105</v>
      </c>
      <c r="G21" t="s">
        <v>10</v>
      </c>
      <c r="H21" s="6">
        <v>4500</v>
      </c>
      <c r="I21" s="6">
        <v>722</v>
      </c>
      <c r="J21" s="5">
        <f t="shared" si="0"/>
        <v>0.16044444444444445</v>
      </c>
    </row>
    <row r="22" spans="1:10" x14ac:dyDescent="0.25">
      <c r="A22" s="4">
        <v>45098</v>
      </c>
      <c r="B22" t="s">
        <v>31</v>
      </c>
      <c r="C22" t="s">
        <v>81</v>
      </c>
      <c r="D22" t="s">
        <v>82</v>
      </c>
      <c r="E22" t="s">
        <v>104</v>
      </c>
      <c r="F22" t="s">
        <v>105</v>
      </c>
      <c r="G22" t="s">
        <v>7</v>
      </c>
      <c r="H22" s="6">
        <v>4250</v>
      </c>
      <c r="I22" s="6">
        <v>901</v>
      </c>
      <c r="J22" s="5">
        <f t="shared" si="0"/>
        <v>0.21199999999999999</v>
      </c>
    </row>
    <row r="23" spans="1:10" x14ac:dyDescent="0.25">
      <c r="A23" s="4">
        <v>45099</v>
      </c>
      <c r="B23" t="s">
        <v>32</v>
      </c>
      <c r="C23" t="s">
        <v>83</v>
      </c>
      <c r="D23" t="s">
        <v>84</v>
      </c>
      <c r="E23" t="s">
        <v>104</v>
      </c>
      <c r="F23" t="s">
        <v>105</v>
      </c>
      <c r="G23" t="s">
        <v>8</v>
      </c>
      <c r="H23" s="6">
        <v>5250</v>
      </c>
      <c r="I23" s="6">
        <v>1349</v>
      </c>
      <c r="J23" s="5">
        <f t="shared" si="0"/>
        <v>0.25695238095238093</v>
      </c>
    </row>
    <row r="24" spans="1:10" x14ac:dyDescent="0.25">
      <c r="A24" s="4">
        <v>45100</v>
      </c>
      <c r="B24" t="s">
        <v>33</v>
      </c>
      <c r="C24" t="s">
        <v>85</v>
      </c>
      <c r="D24" t="s">
        <v>86</v>
      </c>
      <c r="E24" t="s">
        <v>100</v>
      </c>
      <c r="F24" t="s">
        <v>101</v>
      </c>
      <c r="G24" t="s">
        <v>8</v>
      </c>
      <c r="H24" s="6">
        <v>6500</v>
      </c>
      <c r="I24" s="6">
        <v>1288</v>
      </c>
      <c r="J24" s="5">
        <f t="shared" si="0"/>
        <v>0.19815384615384615</v>
      </c>
    </row>
    <row r="25" spans="1:10" x14ac:dyDescent="0.25">
      <c r="A25" s="4">
        <v>45101</v>
      </c>
      <c r="B25" t="s">
        <v>34</v>
      </c>
      <c r="C25" t="s">
        <v>87</v>
      </c>
      <c r="D25" t="s">
        <v>88</v>
      </c>
      <c r="E25" t="s">
        <v>100</v>
      </c>
      <c r="F25" t="s">
        <v>101</v>
      </c>
      <c r="G25" t="s">
        <v>8</v>
      </c>
      <c r="H25" s="6">
        <v>7500</v>
      </c>
      <c r="I25" s="6">
        <v>1664</v>
      </c>
      <c r="J25" s="5">
        <f t="shared" si="0"/>
        <v>0.22186666666666666</v>
      </c>
    </row>
    <row r="26" spans="1:10" x14ac:dyDescent="0.25">
      <c r="A26" s="4">
        <v>45102</v>
      </c>
      <c r="B26" t="s">
        <v>35</v>
      </c>
      <c r="C26" t="s">
        <v>89</v>
      </c>
      <c r="D26" t="s">
        <v>90</v>
      </c>
      <c r="E26" t="s">
        <v>100</v>
      </c>
      <c r="F26" t="s">
        <v>101</v>
      </c>
      <c r="G26" t="s">
        <v>10</v>
      </c>
      <c r="H26" s="6">
        <v>5500</v>
      </c>
      <c r="I26" s="6">
        <v>1320</v>
      </c>
      <c r="J26" s="5">
        <f t="shared" si="0"/>
        <v>0.24</v>
      </c>
    </row>
    <row r="27" spans="1:10" x14ac:dyDescent="0.25">
      <c r="A27" s="4">
        <v>45103</v>
      </c>
      <c r="B27" t="s">
        <v>36</v>
      </c>
      <c r="C27" t="s">
        <v>91</v>
      </c>
      <c r="D27" t="s">
        <v>92</v>
      </c>
      <c r="E27" t="s">
        <v>100</v>
      </c>
      <c r="F27" t="s">
        <v>101</v>
      </c>
      <c r="G27" t="s">
        <v>10</v>
      </c>
      <c r="H27" s="6">
        <v>4625</v>
      </c>
      <c r="I27" s="6">
        <v>1001</v>
      </c>
      <c r="J27" s="5">
        <f t="shared" si="0"/>
        <v>0.21643243243243243</v>
      </c>
    </row>
    <row r="28" spans="1:10" x14ac:dyDescent="0.25">
      <c r="A28" s="4">
        <v>45104</v>
      </c>
      <c r="B28" t="s">
        <v>37</v>
      </c>
      <c r="C28" t="s">
        <v>93</v>
      </c>
      <c r="D28" t="s">
        <v>94</v>
      </c>
      <c r="E28" t="s">
        <v>100</v>
      </c>
      <c r="F28" t="s">
        <v>101</v>
      </c>
      <c r="G28" t="s">
        <v>10</v>
      </c>
      <c r="H28" s="6">
        <v>4500</v>
      </c>
      <c r="I28" s="6">
        <v>960</v>
      </c>
      <c r="J28" s="5">
        <f t="shared" si="0"/>
        <v>0.21333333333333335</v>
      </c>
    </row>
    <row r="29" spans="1:10" x14ac:dyDescent="0.25">
      <c r="A29" s="4">
        <v>45105</v>
      </c>
      <c r="B29" t="s">
        <v>38</v>
      </c>
      <c r="C29" t="s">
        <v>95</v>
      </c>
      <c r="D29" t="s">
        <v>96</v>
      </c>
      <c r="E29" t="s">
        <v>100</v>
      </c>
      <c r="F29" t="s">
        <v>101</v>
      </c>
      <c r="G29" t="s">
        <v>7</v>
      </c>
      <c r="H29" s="6">
        <v>5400</v>
      </c>
      <c r="I29" s="6">
        <v>540</v>
      </c>
      <c r="J29" s="5">
        <f t="shared" si="0"/>
        <v>0.1</v>
      </c>
    </row>
    <row r="30" spans="1:10" x14ac:dyDescent="0.25">
      <c r="H30" s="7"/>
    </row>
    <row r="31" spans="1:10" x14ac:dyDescent="0.25">
      <c r="H31" s="1"/>
    </row>
    <row r="32" spans="1:10" x14ac:dyDescent="0.25">
      <c r="H32" s="1"/>
    </row>
    <row r="33" spans="8:8" x14ac:dyDescent="0.25">
      <c r="H33" s="1"/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1048572" spans="8:8" x14ac:dyDescent="0.25">
      <c r="H1048572">
        <f>SUM(H1:H1048571)</f>
        <v>139320.94827586209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workbookViewId="0">
      <selection activeCell="K10" sqref="K10"/>
    </sheetView>
  </sheetViews>
  <sheetFormatPr defaultColWidth="11" defaultRowHeight="15.75" x14ac:dyDescent="0.25"/>
  <cols>
    <col min="1" max="1" width="3.5" customWidth="1"/>
    <col min="2" max="2" width="5.875" customWidth="1"/>
    <col min="3" max="3" width="21" customWidth="1"/>
    <col min="4" max="4" width="16.875" bestFit="1" customWidth="1"/>
    <col min="5" max="5" width="20.625" customWidth="1"/>
    <col min="6" max="6" width="12.25" bestFit="1" customWidth="1"/>
    <col min="7" max="7" width="12" bestFit="1" customWidth="1"/>
    <col min="8" max="8" width="8.25" bestFit="1" customWidth="1"/>
    <col min="9" max="9" width="18.125" bestFit="1" customWidth="1"/>
  </cols>
  <sheetData>
    <row r="2" spans="2:9" ht="23.25" x14ac:dyDescent="0.35">
      <c r="B2" s="2" t="s">
        <v>0</v>
      </c>
      <c r="C2" s="2" t="s">
        <v>4</v>
      </c>
      <c r="D2" s="2" t="s">
        <v>172</v>
      </c>
      <c r="E2" s="2" t="s">
        <v>5</v>
      </c>
      <c r="F2" s="2" t="s">
        <v>6</v>
      </c>
      <c r="G2" s="2" t="s">
        <v>1</v>
      </c>
      <c r="H2" s="2" t="s">
        <v>2</v>
      </c>
      <c r="I2" s="2" t="s">
        <v>3</v>
      </c>
    </row>
    <row r="3" spans="2:9" x14ac:dyDescent="0.25">
      <c r="B3" s="12">
        <v>45076</v>
      </c>
      <c r="C3" t="s">
        <v>173</v>
      </c>
      <c r="D3" t="s">
        <v>174</v>
      </c>
      <c r="E3" t="s">
        <v>175</v>
      </c>
      <c r="F3" t="s">
        <v>10</v>
      </c>
      <c r="G3" s="1">
        <v>4500</v>
      </c>
      <c r="H3" s="1">
        <v>598</v>
      </c>
      <c r="I3" s="13">
        <f>H3/G3</f>
        <v>0.13288888888888889</v>
      </c>
    </row>
    <row r="4" spans="2:9" x14ac:dyDescent="0.25">
      <c r="B4" s="12">
        <v>45076</v>
      </c>
      <c r="C4" t="s">
        <v>176</v>
      </c>
      <c r="D4" t="s">
        <v>177</v>
      </c>
      <c r="E4" t="s">
        <v>178</v>
      </c>
      <c r="F4" t="s">
        <v>8</v>
      </c>
      <c r="G4" s="1">
        <v>3800</v>
      </c>
      <c r="H4" s="1">
        <v>1045</v>
      </c>
      <c r="I4" s="13">
        <f t="shared" ref="I4:I33" si="0">H4/G4</f>
        <v>0.27500000000000002</v>
      </c>
    </row>
    <row r="5" spans="2:9" x14ac:dyDescent="0.25">
      <c r="B5" s="12">
        <v>45076</v>
      </c>
      <c r="C5" t="s">
        <v>179</v>
      </c>
      <c r="D5" t="s">
        <v>180</v>
      </c>
      <c r="E5" t="s">
        <v>178</v>
      </c>
      <c r="G5" s="1">
        <v>3712.5</v>
      </c>
      <c r="H5" s="1">
        <v>1009</v>
      </c>
      <c r="I5" s="13">
        <f t="shared" si="0"/>
        <v>0.2717845117845118</v>
      </c>
    </row>
    <row r="6" spans="2:9" x14ac:dyDescent="0.25">
      <c r="B6" s="12">
        <v>45076</v>
      </c>
      <c r="C6" t="s">
        <v>181</v>
      </c>
      <c r="D6" t="s">
        <v>182</v>
      </c>
      <c r="E6" t="s">
        <v>183</v>
      </c>
      <c r="G6" s="1"/>
      <c r="H6" s="1">
        <v>779</v>
      </c>
      <c r="I6" s="13" t="e">
        <f t="shared" si="0"/>
        <v>#DIV/0!</v>
      </c>
    </row>
    <row r="7" spans="2:9" x14ac:dyDescent="0.25">
      <c r="B7" s="12">
        <v>45076</v>
      </c>
      <c r="C7" t="s">
        <v>184</v>
      </c>
      <c r="D7" t="s">
        <v>185</v>
      </c>
      <c r="E7" t="s">
        <v>183</v>
      </c>
      <c r="F7" t="s">
        <v>9</v>
      </c>
      <c r="G7" s="1">
        <v>5000</v>
      </c>
      <c r="H7" s="1">
        <v>684</v>
      </c>
      <c r="I7" s="13">
        <f t="shared" si="0"/>
        <v>0.1368</v>
      </c>
    </row>
    <row r="8" spans="2:9" x14ac:dyDescent="0.25">
      <c r="B8" s="12">
        <v>45077</v>
      </c>
      <c r="C8" t="s">
        <v>186</v>
      </c>
      <c r="D8" t="s">
        <v>187</v>
      </c>
      <c r="E8" t="s">
        <v>175</v>
      </c>
      <c r="F8" t="s">
        <v>10</v>
      </c>
      <c r="G8" s="1">
        <v>6100</v>
      </c>
      <c r="H8" s="1">
        <v>544</v>
      </c>
      <c r="I8" s="13">
        <f t="shared" si="0"/>
        <v>8.9180327868852466E-2</v>
      </c>
    </row>
    <row r="9" spans="2:9" x14ac:dyDescent="0.25">
      <c r="B9" s="12">
        <v>45077</v>
      </c>
      <c r="C9" t="s">
        <v>188</v>
      </c>
      <c r="D9" t="s">
        <v>189</v>
      </c>
      <c r="E9" t="s">
        <v>175</v>
      </c>
      <c r="F9" t="s">
        <v>10</v>
      </c>
      <c r="G9" s="1">
        <v>4625</v>
      </c>
      <c r="H9" s="1">
        <v>670</v>
      </c>
      <c r="I9" s="13">
        <f t="shared" si="0"/>
        <v>0.14486486486486486</v>
      </c>
    </row>
    <row r="10" spans="2:9" ht="164.25" customHeight="1" x14ac:dyDescent="0.25">
      <c r="B10" s="12">
        <v>45077</v>
      </c>
      <c r="C10" t="s">
        <v>190</v>
      </c>
      <c r="D10" t="s">
        <v>191</v>
      </c>
      <c r="E10" t="s">
        <v>175</v>
      </c>
      <c r="F10" t="s">
        <v>10</v>
      </c>
      <c r="G10" s="1">
        <v>3800</v>
      </c>
      <c r="H10" s="1">
        <v>2045</v>
      </c>
      <c r="I10" s="13">
        <f t="shared" si="0"/>
        <v>0.53815789473684206</v>
      </c>
    </row>
    <row r="11" spans="2:9" x14ac:dyDescent="0.25">
      <c r="B11" s="12">
        <v>45077</v>
      </c>
      <c r="C11" t="s">
        <v>192</v>
      </c>
      <c r="D11" t="s">
        <v>193</v>
      </c>
      <c r="E11" t="s">
        <v>175</v>
      </c>
      <c r="F11" t="s">
        <v>7</v>
      </c>
      <c r="G11" s="1">
        <v>3600</v>
      </c>
      <c r="H11" s="1">
        <v>1564</v>
      </c>
      <c r="I11" s="13">
        <f t="shared" si="0"/>
        <v>0.43444444444444447</v>
      </c>
    </row>
    <row r="12" spans="2:9" x14ac:dyDescent="0.25">
      <c r="B12" s="12">
        <v>45077</v>
      </c>
      <c r="C12" t="s">
        <v>194</v>
      </c>
      <c r="D12" t="s">
        <v>195</v>
      </c>
      <c r="E12" t="s">
        <v>175</v>
      </c>
      <c r="F12" t="s">
        <v>9</v>
      </c>
      <c r="G12" s="1">
        <v>5100</v>
      </c>
      <c r="H12" s="1">
        <v>1220</v>
      </c>
      <c r="I12" s="13">
        <f t="shared" si="0"/>
        <v>0.23921568627450981</v>
      </c>
    </row>
    <row r="13" spans="2:9" x14ac:dyDescent="0.25">
      <c r="B13" s="12">
        <v>45077</v>
      </c>
      <c r="C13" t="s">
        <v>196</v>
      </c>
      <c r="D13" t="s">
        <v>197</v>
      </c>
      <c r="E13" t="s">
        <v>175</v>
      </c>
      <c r="F13" t="s">
        <v>9</v>
      </c>
      <c r="G13" s="1">
        <v>4750</v>
      </c>
      <c r="H13" s="1">
        <v>1435</v>
      </c>
      <c r="I13" s="13">
        <f t="shared" si="0"/>
        <v>0.30210526315789471</v>
      </c>
    </row>
    <row r="14" spans="2:9" x14ac:dyDescent="0.25">
      <c r="B14" s="12">
        <v>45077</v>
      </c>
      <c r="C14" t="s">
        <v>198</v>
      </c>
      <c r="D14" t="s">
        <v>199</v>
      </c>
      <c r="E14" t="s">
        <v>183</v>
      </c>
      <c r="F14" t="s">
        <v>10</v>
      </c>
      <c r="G14" s="1">
        <v>6000</v>
      </c>
      <c r="H14" s="1">
        <v>998</v>
      </c>
      <c r="I14" s="13">
        <f t="shared" si="0"/>
        <v>0.16633333333333333</v>
      </c>
    </row>
    <row r="15" spans="2:9" x14ac:dyDescent="0.25">
      <c r="B15" s="12">
        <v>45077</v>
      </c>
      <c r="C15" t="s">
        <v>200</v>
      </c>
      <c r="D15" t="s">
        <v>201</v>
      </c>
      <c r="E15" t="s">
        <v>202</v>
      </c>
      <c r="F15" t="s">
        <v>9</v>
      </c>
      <c r="G15" s="1">
        <v>4500</v>
      </c>
      <c r="H15" s="1">
        <v>780</v>
      </c>
      <c r="I15" s="13">
        <f t="shared" si="0"/>
        <v>0.17333333333333334</v>
      </c>
    </row>
    <row r="16" spans="2:9" x14ac:dyDescent="0.25">
      <c r="B16" s="12">
        <v>45078</v>
      </c>
      <c r="C16" t="s">
        <v>203</v>
      </c>
      <c r="D16" t="s">
        <v>204</v>
      </c>
      <c r="E16" t="s">
        <v>202</v>
      </c>
      <c r="F16" t="s">
        <v>7</v>
      </c>
      <c r="G16" s="1"/>
      <c r="H16" s="1">
        <v>1044</v>
      </c>
      <c r="I16" s="13" t="e">
        <f t="shared" si="0"/>
        <v>#DIV/0!</v>
      </c>
    </row>
    <row r="17" spans="2:9" x14ac:dyDescent="0.25">
      <c r="B17" s="12">
        <v>45078</v>
      </c>
      <c r="C17" t="s">
        <v>205</v>
      </c>
      <c r="D17" t="s">
        <v>206</v>
      </c>
      <c r="E17" t="s">
        <v>202</v>
      </c>
      <c r="F17" t="s">
        <v>10</v>
      </c>
      <c r="G17" s="1">
        <v>3712.5</v>
      </c>
      <c r="H17" s="1">
        <v>1222</v>
      </c>
      <c r="I17" s="13">
        <f t="shared" si="0"/>
        <v>0.32915824915824915</v>
      </c>
    </row>
    <row r="18" spans="2:9" x14ac:dyDescent="0.25">
      <c r="B18" s="12">
        <v>45078</v>
      </c>
      <c r="C18" t="s">
        <v>207</v>
      </c>
      <c r="D18" t="s">
        <v>208</v>
      </c>
      <c r="E18" t="s">
        <v>202</v>
      </c>
      <c r="F18" t="s">
        <v>10</v>
      </c>
      <c r="G18" s="1">
        <v>4950</v>
      </c>
      <c r="H18" s="1">
        <v>1065</v>
      </c>
      <c r="I18" s="13">
        <f t="shared" si="0"/>
        <v>0.21515151515151515</v>
      </c>
    </row>
    <row r="19" spans="2:9" x14ac:dyDescent="0.25">
      <c r="B19" s="12">
        <v>45078</v>
      </c>
      <c r="C19" t="s">
        <v>209</v>
      </c>
      <c r="D19" t="s">
        <v>210</v>
      </c>
      <c r="E19" t="s">
        <v>183</v>
      </c>
      <c r="F19" t="s">
        <v>10</v>
      </c>
      <c r="G19" s="1">
        <v>4750</v>
      </c>
      <c r="H19" s="1">
        <v>810</v>
      </c>
      <c r="I19" s="13">
        <f t="shared" si="0"/>
        <v>0.17052631578947369</v>
      </c>
    </row>
    <row r="20" spans="2:9" ht="159.75" customHeight="1" x14ac:dyDescent="0.25">
      <c r="B20" s="12">
        <v>45078</v>
      </c>
      <c r="C20" t="s">
        <v>211</v>
      </c>
      <c r="D20" t="s">
        <v>212</v>
      </c>
      <c r="E20" t="s">
        <v>183</v>
      </c>
      <c r="F20" t="s">
        <v>10</v>
      </c>
      <c r="G20" s="1">
        <v>7320</v>
      </c>
      <c r="H20" s="1">
        <v>933</v>
      </c>
      <c r="I20" s="13">
        <f t="shared" si="0"/>
        <v>0.12745901639344262</v>
      </c>
    </row>
    <row r="21" spans="2:9" x14ac:dyDescent="0.25">
      <c r="B21" s="12">
        <v>45077</v>
      </c>
      <c r="C21" t="s">
        <v>198</v>
      </c>
      <c r="D21" t="s">
        <v>199</v>
      </c>
      <c r="E21" t="s">
        <v>183</v>
      </c>
      <c r="F21" t="s">
        <v>10</v>
      </c>
      <c r="G21" s="1">
        <v>6000</v>
      </c>
      <c r="H21" s="1">
        <v>998</v>
      </c>
      <c r="I21" s="13">
        <f t="shared" si="0"/>
        <v>0.16633333333333333</v>
      </c>
    </row>
    <row r="22" spans="2:9" x14ac:dyDescent="0.25">
      <c r="B22" s="12">
        <v>45077</v>
      </c>
      <c r="C22" t="s">
        <v>200</v>
      </c>
      <c r="D22" t="s">
        <v>201</v>
      </c>
      <c r="E22" t="s">
        <v>202</v>
      </c>
      <c r="F22" t="s">
        <v>9</v>
      </c>
      <c r="G22" s="1">
        <v>4500</v>
      </c>
      <c r="H22" s="1">
        <v>780</v>
      </c>
      <c r="I22" s="13">
        <f t="shared" si="0"/>
        <v>0.17333333333333334</v>
      </c>
    </row>
    <row r="23" spans="2:9" x14ac:dyDescent="0.25">
      <c r="B23" s="12">
        <v>45078</v>
      </c>
      <c r="C23" t="s">
        <v>213</v>
      </c>
      <c r="D23" t="s">
        <v>214</v>
      </c>
      <c r="E23" t="s">
        <v>202</v>
      </c>
      <c r="F23" t="s">
        <v>10</v>
      </c>
      <c r="G23" s="1">
        <v>5087.5</v>
      </c>
      <c r="H23" s="1">
        <v>655</v>
      </c>
      <c r="I23" s="13">
        <f t="shared" si="0"/>
        <v>0.12874692874692875</v>
      </c>
    </row>
    <row r="24" spans="2:9" x14ac:dyDescent="0.25">
      <c r="B24" s="12">
        <v>45078</v>
      </c>
      <c r="C24" t="s">
        <v>215</v>
      </c>
      <c r="D24" t="s">
        <v>216</v>
      </c>
      <c r="E24" t="s">
        <v>202</v>
      </c>
      <c r="F24" t="s">
        <v>10</v>
      </c>
      <c r="G24" s="1">
        <v>4500</v>
      </c>
      <c r="H24" s="1">
        <v>722</v>
      </c>
      <c r="I24" s="13">
        <f t="shared" si="0"/>
        <v>0.16044444444444445</v>
      </c>
    </row>
    <row r="25" spans="2:9" x14ac:dyDescent="0.25">
      <c r="B25" s="12">
        <v>45078</v>
      </c>
      <c r="C25" t="s">
        <v>217</v>
      </c>
      <c r="D25" t="s">
        <v>218</v>
      </c>
      <c r="E25" t="s">
        <v>202</v>
      </c>
      <c r="F25" t="s">
        <v>7</v>
      </c>
      <c r="G25" s="1">
        <v>4250</v>
      </c>
      <c r="H25" s="1">
        <v>901</v>
      </c>
      <c r="I25" s="13">
        <f t="shared" si="0"/>
        <v>0.21199999999999999</v>
      </c>
    </row>
    <row r="26" spans="2:9" x14ac:dyDescent="0.25">
      <c r="B26" s="12">
        <v>45079</v>
      </c>
      <c r="C26" t="s">
        <v>219</v>
      </c>
      <c r="D26" t="s">
        <v>220</v>
      </c>
      <c r="E26" t="s">
        <v>202</v>
      </c>
      <c r="F26" t="s">
        <v>8</v>
      </c>
      <c r="G26" s="1">
        <v>5250</v>
      </c>
      <c r="H26" s="1">
        <v>1349</v>
      </c>
      <c r="I26" s="13">
        <f t="shared" si="0"/>
        <v>0.25695238095238093</v>
      </c>
    </row>
    <row r="27" spans="2:9" x14ac:dyDescent="0.25">
      <c r="B27" s="12">
        <v>45079</v>
      </c>
      <c r="C27" t="s">
        <v>221</v>
      </c>
      <c r="D27" t="s">
        <v>222</v>
      </c>
      <c r="E27" t="s">
        <v>178</v>
      </c>
      <c r="F27" t="s">
        <v>8</v>
      </c>
      <c r="G27" s="1">
        <v>6500</v>
      </c>
      <c r="H27" s="1">
        <v>1288</v>
      </c>
      <c r="I27" s="13">
        <f t="shared" si="0"/>
        <v>0.19815384615384615</v>
      </c>
    </row>
    <row r="28" spans="2:9" x14ac:dyDescent="0.25">
      <c r="B28" s="12">
        <v>45079</v>
      </c>
      <c r="C28" t="s">
        <v>223</v>
      </c>
      <c r="D28" t="s">
        <v>224</v>
      </c>
      <c r="E28" t="s">
        <v>178</v>
      </c>
      <c r="F28" t="s">
        <v>8</v>
      </c>
      <c r="G28" s="1">
        <v>7500</v>
      </c>
      <c r="H28" s="1">
        <v>1664</v>
      </c>
      <c r="I28" s="13">
        <f t="shared" si="0"/>
        <v>0.22186666666666666</v>
      </c>
    </row>
    <row r="29" spans="2:9" x14ac:dyDescent="0.25">
      <c r="B29" s="12">
        <v>45079</v>
      </c>
      <c r="C29" t="s">
        <v>225</v>
      </c>
      <c r="D29" t="s">
        <v>226</v>
      </c>
      <c r="E29" t="s">
        <v>178</v>
      </c>
      <c r="F29" t="s">
        <v>10</v>
      </c>
      <c r="G29" s="1">
        <v>5500</v>
      </c>
      <c r="H29" s="1">
        <v>1320</v>
      </c>
      <c r="I29" s="13">
        <f t="shared" si="0"/>
        <v>0.24</v>
      </c>
    </row>
    <row r="30" spans="2:9" x14ac:dyDescent="0.25">
      <c r="B30" s="12">
        <v>45079</v>
      </c>
      <c r="C30" t="s">
        <v>227</v>
      </c>
      <c r="D30" t="s">
        <v>228</v>
      </c>
      <c r="E30" t="s">
        <v>178</v>
      </c>
      <c r="F30" t="s">
        <v>10</v>
      </c>
      <c r="G30" s="1">
        <v>4625</v>
      </c>
      <c r="H30" s="1">
        <v>1001</v>
      </c>
      <c r="I30" s="13">
        <f t="shared" si="0"/>
        <v>0.21643243243243243</v>
      </c>
    </row>
    <row r="31" spans="2:9" x14ac:dyDescent="0.25">
      <c r="B31" s="12">
        <v>45079</v>
      </c>
      <c r="C31" t="s">
        <v>229</v>
      </c>
      <c r="D31" t="s">
        <v>230</v>
      </c>
      <c r="E31" t="s">
        <v>178</v>
      </c>
      <c r="F31" t="s">
        <v>10</v>
      </c>
      <c r="G31" s="1">
        <v>4500</v>
      </c>
      <c r="H31" s="1">
        <v>960</v>
      </c>
      <c r="I31" s="13">
        <f t="shared" si="0"/>
        <v>0.21333333333333335</v>
      </c>
    </row>
    <row r="32" spans="2:9" x14ac:dyDescent="0.25">
      <c r="B32" s="12">
        <v>45079</v>
      </c>
      <c r="C32" t="s">
        <v>231</v>
      </c>
      <c r="D32" t="s">
        <v>232</v>
      </c>
      <c r="E32" t="s">
        <v>178</v>
      </c>
      <c r="F32" t="s">
        <v>7</v>
      </c>
      <c r="G32" s="1">
        <v>5400</v>
      </c>
      <c r="H32" s="1">
        <v>540</v>
      </c>
      <c r="I32" s="13">
        <f t="shared" si="0"/>
        <v>0.1</v>
      </c>
    </row>
    <row r="33" spans="2:9" x14ac:dyDescent="0.25">
      <c r="B33" s="12">
        <v>45076</v>
      </c>
      <c r="C33" t="s">
        <v>184</v>
      </c>
      <c r="D33" t="s">
        <v>185</v>
      </c>
      <c r="E33" t="s">
        <v>183</v>
      </c>
      <c r="F33" t="s">
        <v>9</v>
      </c>
      <c r="G33" s="1">
        <v>5000</v>
      </c>
      <c r="H33" s="1">
        <v>684</v>
      </c>
      <c r="I33" s="13">
        <f t="shared" si="0"/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B21D166-0BAC-4C94-868F-8AC630914C69}">
  <ds:schemaRefs/>
</ds:datastoreItem>
</file>

<file path=customXml/itemProps2.xml><?xml version="1.0" encoding="utf-8"?>
<ds:datastoreItem xmlns:ds="http://schemas.openxmlformats.org/officeDocument/2006/customXml" ds:itemID="{5D2FA8F3-D7C2-404D-8DBE-A8650506BF88}">
  <ds:schemaRefs/>
</ds:datastoreItem>
</file>

<file path=customXml/itemProps3.xml><?xml version="1.0" encoding="utf-8"?>
<ds:datastoreItem xmlns:ds="http://schemas.openxmlformats.org/officeDocument/2006/customXml" ds:itemID="{7D3A3CAC-69B3-4826-BB3C-2384E9ADBED9}">
  <ds:schemaRefs/>
</ds:datastoreItem>
</file>

<file path=customXml/itemProps4.xml><?xml version="1.0" encoding="utf-8"?>
<ds:datastoreItem xmlns:ds="http://schemas.openxmlformats.org/officeDocument/2006/customXml" ds:itemID="{4455D5E6-7440-40FE-B893-4D424E56F68E}">
  <ds:schemaRefs/>
</ds:datastoreItem>
</file>

<file path=customXml/itemProps5.xml><?xml version="1.0" encoding="utf-8"?>
<ds:datastoreItem xmlns:ds="http://schemas.openxmlformats.org/officeDocument/2006/customXml" ds:itemID="{8D083B1C-3156-4802-9CA0-3F3E975BA823}">
  <ds:schemaRefs/>
</ds:datastoreItem>
</file>

<file path=customXml/itemProps6.xml><?xml version="1.0" encoding="utf-8"?>
<ds:datastoreItem xmlns:ds="http://schemas.openxmlformats.org/officeDocument/2006/customXml" ds:itemID="{DEF4B4A7-D862-412F-80AC-03E35AED22E6}">
  <ds:schemaRefs/>
</ds:datastoreItem>
</file>

<file path=customXml/itemProps7.xml><?xml version="1.0" encoding="utf-8"?>
<ds:datastoreItem xmlns:ds="http://schemas.openxmlformats.org/officeDocument/2006/customXml" ds:itemID="{14624BEB-4190-482B-A22B-8160065D6A51}">
  <ds:schemaRefs/>
</ds:datastoreItem>
</file>

<file path=customXml/itemProps8.xml><?xml version="1.0" encoding="utf-8"?>
<ds:datastoreItem xmlns:ds="http://schemas.openxmlformats.org/officeDocument/2006/customXml" ds:itemID="{8AC217C1-DF1D-40F7-BACC-1A7B403C1F0A}">
  <ds:schemaRefs/>
</ds:datastoreItem>
</file>

<file path=customXml/itemProps9.xml><?xml version="1.0" encoding="utf-8"?>
<ds:datastoreItem xmlns:ds="http://schemas.openxmlformats.org/officeDocument/2006/customXml" ds:itemID="{5A8CB83E-B7A9-4584-BDA6-4457D2EED56B}">
  <ds:schemaRefs/>
</ds:datastoreItem>
</file>

<file path=customXml/itemProps10.xml><?xml version="1.0" encoding="utf-8"?>
<ds:datastoreItem xmlns:ds="http://schemas.openxmlformats.org/officeDocument/2006/customXml" ds:itemID="{F010CAC1-7B0F-44A7-A408-06828E9426DF}">
  <ds:schemaRefs/>
</ds:datastoreItem>
</file>

<file path=customXml/itemProps11.xml><?xml version="1.0" encoding="utf-8"?>
<ds:datastoreItem xmlns:ds="http://schemas.openxmlformats.org/officeDocument/2006/customXml" ds:itemID="{1DA3165D-B171-4670-8F82-F176D55076DF}">
  <ds:schemaRefs/>
</ds:datastoreItem>
</file>

<file path=customXml/itemProps12.xml><?xml version="1.0" encoding="utf-8"?>
<ds:datastoreItem xmlns:ds="http://schemas.openxmlformats.org/officeDocument/2006/customXml" ds:itemID="{6E9ACB08-4392-42E7-A69C-30EC92C4973B}">
  <ds:schemaRefs/>
</ds:datastoreItem>
</file>

<file path=customXml/itemProps13.xml><?xml version="1.0" encoding="utf-8"?>
<ds:datastoreItem xmlns:ds="http://schemas.openxmlformats.org/officeDocument/2006/customXml" ds:itemID="{9524A9CC-8889-490A-AEB3-28DF1CCA48FB}">
  <ds:schemaRefs/>
</ds:datastoreItem>
</file>

<file path=customXml/itemProps14.xml><?xml version="1.0" encoding="utf-8"?>
<ds:datastoreItem xmlns:ds="http://schemas.openxmlformats.org/officeDocument/2006/customXml" ds:itemID="{27B7DE69-33E3-4915-B3B9-A90305B28DD0}">
  <ds:schemaRefs/>
</ds:datastoreItem>
</file>

<file path=customXml/itemProps15.xml><?xml version="1.0" encoding="utf-8"?>
<ds:datastoreItem xmlns:ds="http://schemas.openxmlformats.org/officeDocument/2006/customXml" ds:itemID="{66015427-9FC6-40E0-9EF0-E001E5FDCBAC}">
  <ds:schemaRefs/>
</ds:datastoreItem>
</file>

<file path=customXml/itemProps16.xml><?xml version="1.0" encoding="utf-8"?>
<ds:datastoreItem xmlns:ds="http://schemas.openxmlformats.org/officeDocument/2006/customXml" ds:itemID="{3A412691-85F9-4DDE-81F1-944052F65624}">
  <ds:schemaRefs/>
</ds:datastoreItem>
</file>

<file path=customXml/itemProps17.xml><?xml version="1.0" encoding="utf-8"?>
<ds:datastoreItem xmlns:ds="http://schemas.openxmlformats.org/officeDocument/2006/customXml" ds:itemID="{A976A57B-669F-49B8-B39A-EBD24F7D1A37}">
  <ds:schemaRefs/>
</ds:datastoreItem>
</file>

<file path=customXml/itemProps18.xml><?xml version="1.0" encoding="utf-8"?>
<ds:datastoreItem xmlns:ds="http://schemas.openxmlformats.org/officeDocument/2006/customXml" ds:itemID="{410CDC2B-6438-4DC0-A95F-99E76D36A7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department_dim</vt:lpstr>
      <vt:lpstr>client_dim</vt:lpstr>
      <vt:lpstr>state_dim</vt:lpstr>
      <vt:lpstr>payment_dim</vt:lpstr>
      <vt:lpstr>revenue_fact</vt:lpstr>
      <vt:lpstr>Clean Data </vt:lpstr>
      <vt:lpstr>Dirty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2026-02-13T07:44:21Z</dcterms:modified>
</cp:coreProperties>
</file>